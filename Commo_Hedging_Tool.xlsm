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docProps/app.xml" ContentType="application/vnd.openxmlformats-officedocument.extended-properties+xml"/>
  <Override PartName="/docProps/core.xml" ContentType="application/vnd.openxmlformats-package.core-propertie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40" yWindow="15" windowWidth="16095" windowHeight="9660"/>
  </bookViews>
  <sheets>
    <sheet name="Pricer" sheetId="1" r:id="rId1"/>
    <sheet name="Pitch" sheetId="2" r:id="rId2"/>
    <sheet name="Schedule" sheetId="3" r:id="rId3"/>
    <sheet name="Scenarios" sheetId="4" r:id="rId4"/>
    <sheet name="Distribution" sheetId="5" r:id="rId5"/>
    <sheet name="Market" sheetId="6" r:id="rId6"/>
    <sheet name="Notes" sheetId="7" r:id="rId7"/>
  </sheets>
  <definedNames>
    <definedName name="AvgFut">Pricer!$C$14</definedName>
    <definedName name="Budget">Pricer!$C$9</definedName>
    <definedName name="Cap3">Pricer!$C$19</definedName>
    <definedName name="DistTop">Distribution!$A$3</definedName>
    <definedName name="DriftView">Pricer!$C$28</definedName>
    <definedName name="DUStrike">Pricer!$F$19</definedName>
    <definedName name="DUTop">Pricer!$F$25</definedName>
    <definedName name="Front">Pricer!$C$12</definedName>
    <definedName name="Giveup3">Pricer!$G$17</definedName>
    <definedName name="Giveup">Pricer!$G$16</definedName>
    <definedName name="Leverage">Pricer!$C$21</definedName>
    <definedName name="MarginUSD">Pricer!$C$22</definedName>
    <definedName name="McTop">Pricer!$K$13</definedName>
    <definedName name="MktTable">Market!$B$6:$G$20</definedName>
    <definedName name="NMonths">Pricer!$C$8</definedName>
    <definedName name="NPaths">Pricer!$C$26</definedName>
    <definedName name="Participation">Pricer!$C$20</definedName>
    <definedName name="Phi">IF(LEFT(Pricer!$C$6,8)="Consumer",1,-1)</definedName>
    <definedName name="PremBbl">Schedule!$J$30</definedName>
    <definedName name="_xlnm.Print_Area" localSheetId="1">Pitch!$A$1:$B$32</definedName>
    <definedName name="_xlnm.Print_Area" localSheetId="0">Pricer!$A$1:$P$54</definedName>
    <definedName name="Protect">Pricer!$C$18</definedName>
    <definedName name="PSStrike">Pricer!$F$18</definedName>
    <definedName name="ScenTop">Scenarios!$A$3</definedName>
    <definedName name="Seed">Pricer!$C$27</definedName>
    <definedName name="Side">Pricer!$C$6</definedName>
    <definedName name="Status">Pricer!$E$10</definedName>
    <definedName name="TotalQ">Pricer!$C$7*Pricer!$C$8</definedName>
    <definedName name="VolShift">Pricer!$C$13</definedName>
    <definedName name="Volume">Pricer!$C$7</definedName>
  </definedNames>
  <calcPr calcId="124519" fullCalcOnLoad="1"/>
</workbook>
</file>

<file path=xl/sharedStrings.xml><?xml version="1.0" encoding="utf-8"?>
<sst xmlns="http://schemas.openxmlformats.org/spreadsheetml/2006/main" count="166" uniqueCount="122">
  <si>
    <t>Commo Hedging Tool  |  Jet fuel hedging proposals for an airline (Brent)</t>
  </si>
  <si>
    <t>Yellow = input. Blue = live formula. Grey = Monte Carlo output (macro). Market data is illustrative. Prices in USD per barrel.</t>
  </si>
  <si>
    <t>CLIENT</t>
  </si>
  <si>
    <t>Client profile</t>
  </si>
  <si>
    <t>Consumer (buys fuel)</t>
  </si>
  <si>
    <t>Barrels per month</t>
  </si>
  <si>
    <t>Number of monthly fixings (1-24)</t>
  </si>
  <si>
    <t>Budget price (Brent, USD/bbl)</t>
  </si>
  <si>
    <t>MARKET</t>
  </si>
  <si>
    <t>Brent front month (USD/bbl)</t>
  </si>
  <si>
    <t>Implied vol shift (vol points)</t>
  </si>
  <si>
    <t>Average futures price over the fixings</t>
  </si>
  <si>
    <t>Curve vs front month (USD/bbl)</t>
  </si>
  <si>
    <t>STRUCTURES</t>
  </si>
  <si>
    <t>Protection strike (call, collars)</t>
  </si>
  <si>
    <t>Three-way: sold cap strike</t>
  </si>
  <si>
    <t>Participation (participating swap)</t>
  </si>
  <si>
    <t>Double-up: volume multiplier</t>
  </si>
  <si>
    <t>Sales margin (USD/bbl)</t>
  </si>
  <si>
    <t>SIMULATION</t>
  </si>
  <si>
    <t>Monte Carlo paths</t>
  </si>
  <si>
    <t>Random seed</t>
  </si>
  <si>
    <t>Brent drift for statistics</t>
  </si>
  <si>
    <t>Futures curve (market view)</t>
  </si>
  <si>
    <t>Pre-computed results (20,000 paths, seed 42). Change the inputs and click 'Price all' to re-run.</t>
  </si>
  <si>
    <t>Strategy</t>
  </si>
  <si>
    <t>Strike / price</t>
  </si>
  <si>
    <t>Strike 2 / param</t>
  </si>
  <si>
    <t>Strike 3</t>
  </si>
  <si>
    <t>Mid value to client (USD)</t>
  </si>
  <si>
    <t>Upfront premium (USD)</t>
  </si>
  <si>
    <t>Expected price</t>
  </si>
  <si>
    <t>Worst 5%</t>
  </si>
  <si>
    <t>Best 5%</t>
  </si>
  <si>
    <t>P(miss budget)</t>
  </si>
  <si>
    <t>P(over-hedged)</t>
  </si>
  <si>
    <t>Unhedged</t>
  </si>
  <si>
    <t>Swap</t>
  </si>
  <si>
    <t>Call (cap)</t>
  </si>
  <si>
    <t>Zero-cost collar</t>
  </si>
  <si>
    <t>Three-way collar</t>
  </si>
  <si>
    <t>Participating swap</t>
  </si>
  <si>
    <t>Double-up swap</t>
  </si>
  <si>
    <t>Yellow strikes are solved by 'Solve zero-cost strikes' but can be typed in: the mid value then shows what the client pays (negative) or receives.</t>
  </si>
  <si>
    <t>Mid value: every structure = live Black-76 formulas on the futures curve with the smile (Schedule sheet). Statistics = Monte Carlo.</t>
  </si>
  <si>
    <t>Double-up anatomy (Monte Carlo)</t>
  </si>
  <si>
    <t>P(at least one doubled fixing)</t>
  </si>
  <si>
    <t>Expected number of doubled fixings</t>
  </si>
  <si>
    <t>P(every fixing doubled)</t>
  </si>
  <si>
    <t>Expected extra barrels</t>
  </si>
  <si>
    <t>Live pricing per fixing: futures, discount factor, smile vol and Black-76 (rows beyond the number of fixings are inactive). Values in USD.</t>
  </si>
  <si>
    <t>Fixing</t>
  </si>
  <si>
    <t>Active</t>
  </si>
  <si>
    <t>T (y)</t>
  </si>
  <si>
    <t>Futures</t>
  </si>
  <si>
    <t>Fut - front</t>
  </si>
  <si>
    <t>DF USD</t>
  </si>
  <si>
    <t>r USD (cc)</t>
  </si>
  <si>
    <t>Swap price</t>
  </si>
  <si>
    <t>Swap value</t>
  </si>
  <si>
    <t>Vol</t>
  </si>
  <si>
    <t>d1</t>
  </si>
  <si>
    <t>d2</t>
  </si>
  <si>
    <t>Price</t>
  </si>
  <si>
    <t>Value</t>
  </si>
  <si>
    <t>Protect price</t>
  </si>
  <si>
    <t>Sold price</t>
  </si>
  <si>
    <t>Protection, strike = Protect</t>
  </si>
  <si>
    <t>Collar: sold option, strike = Giveup</t>
  </si>
  <si>
    <t>Three-way: sold cap, strike = Cap3</t>
  </si>
  <si>
    <t>Three-way: sold option, strike = Giveup3</t>
  </si>
  <si>
    <t>Participating swap, strike = PSStrike</t>
  </si>
  <si>
    <t>Double-up swap, strike = DUStrike</t>
  </si>
  <si>
    <t>Live Black-76 pricing per fixing (USD)</t>
  </si>
  <si>
    <t>Total</t>
  </si>
  <si>
    <t>Call premium carried to the average fixing date, per barrel (USD/bbl):</t>
  </si>
  <si>
    <t>Achieved average price (USD/bbl) if Brent moves today and stays there (premium included), live formulas</t>
  </si>
  <si>
    <t>Brent move</t>
  </si>
  <si>
    <t>Brent</t>
  </si>
  <si>
    <t>Monte Carlo outcomes sorted from the client's best to worst (achieved average price, macro output)</t>
  </si>
  <si>
    <t>Percentile</t>
  </si>
  <si>
    <t>Brent market snapshot (illustrative, edit the yellow cells)</t>
  </si>
  <si>
    <t>Futures curve given as a spread to the front month (Pricer sheet), so moving the front month shifts the whole curve. USD rates: continuously compounded zero rates. Smile quoted as ATM, 25-delta risk reversal (call minus put) and 25-delta butterfly.</t>
  </si>
  <si>
    <t>Tenor</t>
  </si>
  <si>
    <t>Years</t>
  </si>
  <si>
    <t>Futures - front</t>
  </si>
  <si>
    <t>USD rate %</t>
  </si>
  <si>
    <t>ATM vol %</t>
  </si>
  <si>
    <t>25d RR %</t>
  </si>
  <si>
    <t>25d BF %</t>
  </si>
  <si>
    <t>1M</t>
  </si>
  <si>
    <t>2M</t>
  </si>
  <si>
    <t>3M</t>
  </si>
  <si>
    <t>6M</t>
  </si>
  <si>
    <t>9M</t>
  </si>
  <si>
    <t>1Y</t>
  </si>
  <si>
    <t>18M</t>
  </si>
  <si>
    <t>2Y</t>
  </si>
  <si>
    <t>Smile check: implied vol (%) by moneyness</t>
  </si>
  <si>
    <t>Strike / fut</t>
  </si>
  <si>
    <t>Protecting your fuel costs: hedging proposal</t>
  </si>
  <si>
    <t>Indicative mid-market levels built from the Pricer sheet. Illustrative market data, not an offer.</t>
  </si>
  <si>
    <t>Your situation</t>
  </si>
  <si>
    <t>Our proposals</t>
  </si>
  <si>
    <t>A more aggressive alternative, for discussion only</t>
  </si>
  <si>
    <t>Key risks</t>
  </si>
  <si>
    <t>A swap or a collar gives up some or all of the benefit of a favourable move. An option premium is paid whatever happens. A three-way collar leaves you exposed beyond the sold cap. A double-up swap can force you to hedge more than your real needs. We hedge Brent: the jet fuel crack spread is not covered. Suitability and appropriateness checks apply.</t>
  </si>
  <si>
    <t>Next steps</t>
  </si>
  <si>
    <t>1. Agree the hedge ratio and horizon in line with your hedging policy.  2. ISDA master agreement and credit line.  3. Hedge accounting documentation (IFRS 9).  4. Live pricing and execution.</t>
  </si>
  <si>
    <t>How to use</t>
  </si>
  <si>
    <t>1. Enable macros (the workbook recalculates on opening). 2. Fill the yellow cells on the Pricer sheet. Every mid value, the Scenarios grid and the Pitch update instantly. 3. 'Solve zero-cost strikes' re-solves the sold strike of the collar and of the three-way, and the participating and double-up swap prices. 4. 'Run Monte Carlo' refreshes the statistics. 'Price all' does both. 'Default strikes' sets the protection strike from the budget and the three-way cap 20% further away.</t>
  </si>
  <si>
    <t>What is a formula and what is VBA</t>
  </si>
  <si>
    <t>Formulas: Schedule sheet (per fixing: futures price, discount factor, smile vol, d1, d2, Black-76 prices with NORMSDIST, values), Pricer mid values and premium, Scenarios grid, Pitch text. VBA: market worksheet functions CM_FUTURE, CM_DF, CM_VOL, CM_ATMVOL, CM_AVGFUT, CM_OPTION (curve interpolation and smile iteration), bisection solvers, Monte Carlo.</t>
  </si>
  <si>
    <t>Conventions</t>
  </si>
  <si>
    <t>Prices in USD per barrel of Brent. Consumer (airline, buys fuel): risk = Brent rises, protection = call, lower price is better. Producer (sells oil): risk = Brent falls, protection = put, higher price is better. Each structure pays a gain g per barrel and the achieved price is S - phi x g (phi = +1 consumer, -1 producer). A swap at K gives g = phi x (S - K), so the achieved price is K.</t>
  </si>
  <si>
    <t>The structures</t>
  </si>
  <si>
    <t>Swap: fixed price = futures of each month. Call (cap): protection at the strike, premium paid upfront. Zero-cost collar: call bought, put sold (consumer). Three-way collar: call spread bought (protection between the strike and the cap), put sold: zero cost with a lower sold put than the collar. Participating swap: call bought on 100%, put sold on (1 - participation). Double-up swap: call bought on 100%, put sold on leverage x the volume, so the client buys 2x at the swap price when the market is lower.</t>
  </si>
  <si>
    <t>Methodology</t>
  </si>
  <si>
    <t>Futures: front month + curve spread, linear in maturity. Smile: implied vol is a quadratic in call delta through ATM, 25d RR and 25d BF, solved by fixed-point iteration. Options: Black-76 on the futures of each month with the smile vol of each strike, discounted at the USD rate. Zero-cost strikes are solved by bisection, minus an optional sales margin (USD/bbl x barrels, discounted).</t>
  </si>
  <si>
    <t>Statistics: log-normal Brent paths on the fixing dates with the ATM vol term structure, centred on the futures curve by default (or on the front month). Random numbers: MRG32k3a generator with antithetic variates, so every machine gives the same results.</t>
  </si>
  <si>
    <t>Limitations</t>
  </si>
  <si>
    <t>Basis risk: an airline buys jet fuel, not Brent. The hedge covers Brent only, the crack spread (jet minus Brent) stays open; a jet fuel swap would remove it but is less liquid. Options are on the monthly futures, not monthly averages (real airline options are average-price options, which are cheaper). One random factor for the whole curve, deterministic rates, no CVA or capital charge: zero-cost means zero-cost mid-market.</t>
  </si>
</sst>
</file>

<file path=xl/styles.xml><?xml version="1.0" encoding="utf-8"?>
<styleSheet xmlns="http://schemas.openxmlformats.org/spreadsheetml/2006/main">
  <numFmts count="7">
    <numFmt numFmtId="164" formatCode="#,##0"/>
    <numFmt numFmtId="165" formatCode="0.00"/>
    <numFmt numFmtId="166" formatCode="0%"/>
    <numFmt numFmtId="167" formatCode="0.0&quot;x&quot;"/>
    <numFmt numFmtId="168" formatCode="0.0000"/>
    <numFmt numFmtId="169" formatCode="0.000000"/>
    <numFmt numFmtId="170" formatCode="0.0%"/>
  </numFmts>
  <fonts count="9">
    <font>
      <sz val="11"/>
      <color theme="1"/>
      <name val="Calibri"/>
      <family val="2"/>
      <scheme val="minor"/>
    </font>
    <font>
      <b/>
      <sz val="18"/>
      <color rgb="FF14325C"/>
      <name val="Calibri"/>
      <family val="2"/>
      <scheme val="minor"/>
    </font>
    <font>
      <i/>
      <sz val="11"/>
      <color rgb="FF52514E"/>
      <name val="Calibri"/>
      <family val="2"/>
      <scheme val="minor"/>
    </font>
    <font>
      <b/>
      <sz val="11"/>
      <color rgb="FFFFFFFF"/>
      <name val="Calibri"/>
      <family val="2"/>
      <scheme val="minor"/>
    </font>
    <font>
      <sz val="11"/>
      <color rgb="FF0B0B0B"/>
      <name val="Calibri"/>
      <family val="2"/>
      <scheme val="minor"/>
    </font>
    <font>
      <sz val="11"/>
      <color rgb="FF0000FF"/>
      <name val="Calibri"/>
      <family val="2"/>
      <scheme val="minor"/>
    </font>
    <font>
      <b/>
      <sz val="11"/>
      <color theme="1"/>
      <name val="Calibri"/>
      <family val="2"/>
      <scheme val="minor"/>
    </font>
    <font>
      <b/>
      <sz val="13"/>
      <color rgb="FF14325C"/>
      <name val="Calibri"/>
      <family val="2"/>
      <scheme val="minor"/>
    </font>
    <font>
      <b/>
      <sz val="12"/>
      <color theme="1"/>
      <name val="Calibri"/>
      <family val="2"/>
      <scheme val="minor"/>
    </font>
  </fonts>
  <fills count="7">
    <fill>
      <patternFill patternType="none"/>
    </fill>
    <fill>
      <patternFill patternType="gray125"/>
    </fill>
    <fill>
      <patternFill patternType="solid">
        <fgColor rgb="FF14325C"/>
        <bgColor indexed="64"/>
      </patternFill>
    </fill>
    <fill>
      <patternFill patternType="solid">
        <fgColor rgb="FFFFF6D5"/>
        <bgColor indexed="64"/>
      </patternFill>
    </fill>
    <fill>
      <patternFill patternType="solid">
        <fgColor rgb="FF5B6B80"/>
        <bgColor indexed="64"/>
      </patternFill>
    </fill>
    <fill>
      <patternFill patternType="solid">
        <fgColor rgb="FFEEF3FA"/>
        <bgColor indexed="64"/>
      </patternFill>
    </fill>
    <fill>
      <patternFill patternType="solid">
        <fgColor rgb="FFF3F3F1"/>
        <bgColor indexed="64"/>
      </patternFill>
    </fill>
  </fills>
  <borders count="6">
    <border>
      <left/>
      <right/>
      <top/>
      <bottom/>
      <diagonal/>
    </border>
    <border>
      <left style="thin">
        <color rgb="FFD9C27A"/>
      </left>
      <right style="thin">
        <color rgb="FFD9C27A"/>
      </right>
      <top style="thin">
        <color rgb="FFD9C27A"/>
      </top>
      <bottom style="thin">
        <color rgb="FFD9C27A"/>
      </bottom>
      <diagonal/>
    </border>
    <border>
      <left style="thin">
        <color auto="1"/>
      </left>
      <right style="thin">
        <color auto="1"/>
      </right>
      <top style="thin">
        <color auto="1"/>
      </top>
      <bottom style="thin">
        <color auto="1"/>
      </bottom>
      <diagonal/>
    </border>
    <border>
      <left style="thin">
        <color rgb="FFC9D6EA"/>
      </left>
      <right style="thin">
        <color rgb="FFC9D6EA"/>
      </right>
      <top style="thin">
        <color rgb="FFC9D6EA"/>
      </top>
      <bottom style="thin">
        <color rgb="FFC9D6EA"/>
      </bottom>
      <diagonal/>
    </border>
    <border>
      <left style="thin">
        <color rgb="FFD6D5D0"/>
      </left>
      <right style="thin">
        <color rgb="FFD6D5D0"/>
      </right>
      <top style="thin">
        <color rgb="FFD6D5D0"/>
      </top>
      <bottom style="thin">
        <color rgb="FFD6D5D0"/>
      </bottom>
      <diagonal/>
    </border>
    <border>
      <left/>
      <right/>
      <top style="thin">
        <color auto="1"/>
      </top>
      <bottom/>
      <diagonal/>
    </border>
  </borders>
  <cellStyleXfs count="1">
    <xf numFmtId="0" fontId="0" fillId="0" borderId="0"/>
  </cellStyleXfs>
  <cellXfs count="33">
    <xf numFmtId="0" fontId="0" fillId="0" borderId="0" xfId="0"/>
    <xf numFmtId="0" fontId="1" fillId="0" borderId="0" xfId="0" applyFont="1"/>
    <xf numFmtId="0" fontId="2" fillId="0" borderId="0" xfId="0" applyFont="1"/>
    <xf numFmtId="0" fontId="3" fillId="2" borderId="0" xfId="0" applyFont="1" applyFill="1"/>
    <xf numFmtId="0" fontId="4" fillId="0" borderId="0" xfId="0" applyFont="1"/>
    <xf numFmtId="0" fontId="5" fillId="3" borderId="1" xfId="0" applyFont="1" applyFill="1" applyBorder="1" applyAlignment="1">
      <alignment horizontal="left"/>
    </xf>
    <xf numFmtId="164" fontId="5" fillId="3" borderId="1" xfId="0" applyNumberFormat="1" applyFont="1" applyFill="1" applyBorder="1"/>
    <xf numFmtId="165" fontId="5" fillId="3" borderId="1" xfId="0" applyNumberFormat="1" applyFont="1" applyFill="1" applyBorder="1"/>
    <xf numFmtId="0" fontId="3" fillId="2" borderId="2" xfId="0" applyFont="1" applyFill="1" applyBorder="1" applyAlignment="1">
      <alignment horizontal="center" vertical="center" wrapText="1"/>
    </xf>
    <xf numFmtId="0" fontId="3" fillId="4" borderId="2" xfId="0" applyFont="1" applyFill="1" applyBorder="1" applyAlignment="1">
      <alignment horizontal="center" vertical="center" wrapText="1"/>
    </xf>
    <xf numFmtId="0" fontId="6" fillId="0" borderId="3" xfId="0" applyFont="1" applyBorder="1"/>
    <xf numFmtId="165" fontId="0" fillId="0" borderId="3" xfId="0" applyNumberFormat="1" applyBorder="1"/>
    <xf numFmtId="164" fontId="0" fillId="5" borderId="3" xfId="0" applyNumberFormat="1" applyFill="1" applyBorder="1"/>
    <xf numFmtId="165" fontId="0" fillId="6" borderId="4" xfId="0" applyNumberFormat="1" applyFill="1" applyBorder="1"/>
    <xf numFmtId="166" fontId="0" fillId="6" borderId="4" xfId="0" applyNumberFormat="1" applyFill="1" applyBorder="1"/>
    <xf numFmtId="165" fontId="0" fillId="5" borderId="3" xfId="0" applyNumberFormat="1" applyFill="1" applyBorder="1"/>
    <xf numFmtId="166" fontId="0" fillId="5" borderId="3" xfId="0" applyNumberFormat="1" applyFill="1" applyBorder="1"/>
    <xf numFmtId="167" fontId="0" fillId="5" borderId="3" xfId="0" applyNumberFormat="1" applyFill="1" applyBorder="1"/>
    <xf numFmtId="166" fontId="5" fillId="3" borderId="1" xfId="0" applyNumberFormat="1" applyFont="1" applyFill="1" applyBorder="1"/>
    <xf numFmtId="167" fontId="5" fillId="3" borderId="1" xfId="0" applyNumberFormat="1" applyFont="1" applyFill="1" applyBorder="1"/>
    <xf numFmtId="164" fontId="0" fillId="6" borderId="4" xfId="0" applyNumberFormat="1" applyFill="1" applyBorder="1"/>
    <xf numFmtId="0" fontId="7" fillId="0" borderId="0" xfId="0" applyFont="1"/>
    <xf numFmtId="0" fontId="8" fillId="0" borderId="0" xfId="0" applyFont="1" applyAlignment="1">
      <alignment vertical="top" wrapText="1"/>
    </xf>
    <xf numFmtId="0" fontId="0" fillId="0" borderId="0" xfId="0" applyAlignment="1">
      <alignment vertical="top" wrapText="1"/>
    </xf>
    <xf numFmtId="1" fontId="0" fillId="0" borderId="0" xfId="0" applyNumberFormat="1"/>
    <xf numFmtId="168" fontId="0" fillId="0" borderId="0" xfId="0" applyNumberFormat="1"/>
    <xf numFmtId="165" fontId="0" fillId="0" borderId="0" xfId="0" applyNumberFormat="1"/>
    <xf numFmtId="169" fontId="0" fillId="0" borderId="0" xfId="0" applyNumberFormat="1"/>
    <xf numFmtId="170" fontId="0" fillId="0" borderId="0" xfId="0" applyNumberFormat="1"/>
    <xf numFmtId="164" fontId="0" fillId="0" borderId="0" xfId="0" applyNumberFormat="1"/>
    <xf numFmtId="164" fontId="6" fillId="0" borderId="5" xfId="0" applyNumberFormat="1" applyFont="1" applyBorder="1"/>
    <xf numFmtId="168" fontId="5" fillId="3" borderId="1" xfId="0" applyNumberFormat="1" applyFont="1" applyFill="1" applyBorder="1"/>
    <xf numFmtId="168" fontId="0" fillId="5" borderId="3" xfId="0" applyNumberFormat="1" applyFill="1" applyBorder="1"/>
  </cellXfs>
  <cellStyles count="1">
    <cellStyle name="Normal" xfId="0" builtinId="0"/>
  </cellStyles>
  <dxfs count="1">
    <dxf>
      <font>
        <color rgb="FFB5B4AE"/>
      </font>
    </dxf>
  </dxfs>
  <tableStyles count="0" defaultTableStyle="TableStyleMedium9" defaultPivotStyle="PivotStyleLight16"/>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theme" Target="theme/theme1.xml"/><Relationship Id="rId9" Type="http://schemas.openxmlformats.org/officeDocument/2006/relationships/styles" Target="styles.xml"/><Relationship Id="rId10" Type="http://schemas.openxmlformats.org/officeDocument/2006/relationships/sharedStrings" Target="sharedStrings.xml"/><Relationship Id="rId11"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baseline="0"/>
            </a:pPr>
            <a:r>
              <a:rPr lang="en-US" sz="1200" b="1" baseline="0"/>
              <a:t>Achieved price by scenario (Brent moves and stays there)</a:t>
            </a:r>
          </a:p>
        </c:rich>
      </c:tx>
      <c:layout/>
    </c:title>
    <c:plotArea>
      <c:layout/>
      <c:scatterChart>
        <c:scatterStyle val="lineMarker"/>
        <c:ser>
          <c:idx val="0"/>
          <c:order val="0"/>
          <c:tx>
            <c:v>Unhedged</c:v>
          </c:tx>
          <c:spPr>
            <a:ln w="19050">
              <a:solidFill>
                <a:srgbClr val="8A8985"/>
              </a:solidFill>
              <a:prstDash val="dash"/>
            </a:ln>
          </c:spPr>
          <c:marker>
            <c:symbol val="none"/>
          </c:marker>
          <c:xVal>
            <c:numRef>
              <c:f>Scenarios!$B$3:$B$63</c:f>
              <c:numCache>
                <c:formatCode>General</c:formatCode>
                <c:ptCount val="61"/>
                <c:pt idx="0">
                  <c:v>41.25</c:v>
                </c:pt>
                <c:pt idx="1">
                  <c:v>42.375</c:v>
                </c:pt>
                <c:pt idx="2">
                  <c:v>43.5</c:v>
                </c:pt>
                <c:pt idx="3">
                  <c:v>44.625</c:v>
                </c:pt>
                <c:pt idx="4">
                  <c:v>45.75</c:v>
                </c:pt>
                <c:pt idx="5">
                  <c:v>46.875</c:v>
                </c:pt>
                <c:pt idx="6">
                  <c:v>48</c:v>
                </c:pt>
                <c:pt idx="7">
                  <c:v>49.125</c:v>
                </c:pt>
                <c:pt idx="8">
                  <c:v>50.25</c:v>
                </c:pt>
                <c:pt idx="9">
                  <c:v>51.375</c:v>
                </c:pt>
                <c:pt idx="10">
                  <c:v>52.5</c:v>
                </c:pt>
                <c:pt idx="11">
                  <c:v>53.625</c:v>
                </c:pt>
                <c:pt idx="12">
                  <c:v>54.75</c:v>
                </c:pt>
                <c:pt idx="13">
                  <c:v>55.875</c:v>
                </c:pt>
                <c:pt idx="14">
                  <c:v>57</c:v>
                </c:pt>
                <c:pt idx="15">
                  <c:v>58.125</c:v>
                </c:pt>
                <c:pt idx="16">
                  <c:v>59.25</c:v>
                </c:pt>
                <c:pt idx="17">
                  <c:v>60.375</c:v>
                </c:pt>
                <c:pt idx="18">
                  <c:v>61.5</c:v>
                </c:pt>
                <c:pt idx="19">
                  <c:v>62.625</c:v>
                </c:pt>
                <c:pt idx="20">
                  <c:v>63.75</c:v>
                </c:pt>
                <c:pt idx="21">
                  <c:v>64.875</c:v>
                </c:pt>
                <c:pt idx="22">
                  <c:v>66</c:v>
                </c:pt>
                <c:pt idx="23">
                  <c:v>67.125</c:v>
                </c:pt>
                <c:pt idx="24">
                  <c:v>68.25</c:v>
                </c:pt>
                <c:pt idx="25">
                  <c:v>69.375</c:v>
                </c:pt>
                <c:pt idx="26">
                  <c:v>70.5</c:v>
                </c:pt>
                <c:pt idx="27">
                  <c:v>71.625</c:v>
                </c:pt>
                <c:pt idx="28">
                  <c:v>72.75</c:v>
                </c:pt>
                <c:pt idx="29">
                  <c:v>73.875</c:v>
                </c:pt>
                <c:pt idx="30">
                  <c:v>75</c:v>
                </c:pt>
                <c:pt idx="31">
                  <c:v>76.125</c:v>
                </c:pt>
                <c:pt idx="32">
                  <c:v>77.25</c:v>
                </c:pt>
                <c:pt idx="33">
                  <c:v>78.375</c:v>
                </c:pt>
                <c:pt idx="34">
                  <c:v>79.5</c:v>
                </c:pt>
                <c:pt idx="35">
                  <c:v>80.625</c:v>
                </c:pt>
                <c:pt idx="36">
                  <c:v>81.75</c:v>
                </c:pt>
                <c:pt idx="37">
                  <c:v>82.875</c:v>
                </c:pt>
                <c:pt idx="38">
                  <c:v>84</c:v>
                </c:pt>
                <c:pt idx="39">
                  <c:v>85.125</c:v>
                </c:pt>
                <c:pt idx="40">
                  <c:v>86.25</c:v>
                </c:pt>
                <c:pt idx="41">
                  <c:v>87.375</c:v>
                </c:pt>
                <c:pt idx="42">
                  <c:v>88.5</c:v>
                </c:pt>
                <c:pt idx="43">
                  <c:v>89.625</c:v>
                </c:pt>
                <c:pt idx="44">
                  <c:v>90.75</c:v>
                </c:pt>
                <c:pt idx="45">
                  <c:v>91.875</c:v>
                </c:pt>
                <c:pt idx="46">
                  <c:v>93</c:v>
                </c:pt>
                <c:pt idx="47">
                  <c:v>94.125</c:v>
                </c:pt>
                <c:pt idx="48">
                  <c:v>95.25</c:v>
                </c:pt>
                <c:pt idx="49">
                  <c:v>96.375</c:v>
                </c:pt>
                <c:pt idx="50">
                  <c:v>97.5</c:v>
                </c:pt>
                <c:pt idx="51">
                  <c:v>98.625</c:v>
                </c:pt>
                <c:pt idx="52">
                  <c:v>99.75</c:v>
                </c:pt>
                <c:pt idx="53">
                  <c:v>100.875</c:v>
                </c:pt>
                <c:pt idx="54">
                  <c:v>102</c:v>
                </c:pt>
                <c:pt idx="55">
                  <c:v>103.125</c:v>
                </c:pt>
                <c:pt idx="56">
                  <c:v>104.25</c:v>
                </c:pt>
                <c:pt idx="57">
                  <c:v>105.375</c:v>
                </c:pt>
                <c:pt idx="58">
                  <c:v>106.5</c:v>
                </c:pt>
                <c:pt idx="59">
                  <c:v>107.625</c:v>
                </c:pt>
                <c:pt idx="60">
                  <c:v>108.75</c:v>
                </c:pt>
              </c:numCache>
            </c:numRef>
          </c:xVal>
          <c:yVal>
            <c:numRef>
              <c:f>Scenarios!$C$3:$C$63</c:f>
              <c:numCache>
                <c:formatCode>General</c:formatCode>
                <c:ptCount val="61"/>
                <c:pt idx="0">
                  <c:v>41.25</c:v>
                </c:pt>
                <c:pt idx="1">
                  <c:v>42.375</c:v>
                </c:pt>
                <c:pt idx="2">
                  <c:v>43.5</c:v>
                </c:pt>
                <c:pt idx="3">
                  <c:v>44.625</c:v>
                </c:pt>
                <c:pt idx="4">
                  <c:v>45.75</c:v>
                </c:pt>
                <c:pt idx="5">
                  <c:v>46.875</c:v>
                </c:pt>
                <c:pt idx="6">
                  <c:v>48</c:v>
                </c:pt>
                <c:pt idx="7">
                  <c:v>49.125</c:v>
                </c:pt>
                <c:pt idx="8">
                  <c:v>50.25</c:v>
                </c:pt>
                <c:pt idx="9">
                  <c:v>51.375</c:v>
                </c:pt>
                <c:pt idx="10">
                  <c:v>52.5</c:v>
                </c:pt>
                <c:pt idx="11">
                  <c:v>53.625</c:v>
                </c:pt>
                <c:pt idx="12">
                  <c:v>54.75</c:v>
                </c:pt>
                <c:pt idx="13">
                  <c:v>55.875</c:v>
                </c:pt>
                <c:pt idx="14">
                  <c:v>57</c:v>
                </c:pt>
                <c:pt idx="15">
                  <c:v>58.125</c:v>
                </c:pt>
                <c:pt idx="16">
                  <c:v>59.25</c:v>
                </c:pt>
                <c:pt idx="17">
                  <c:v>60.375</c:v>
                </c:pt>
                <c:pt idx="18">
                  <c:v>61.5</c:v>
                </c:pt>
                <c:pt idx="19">
                  <c:v>62.625</c:v>
                </c:pt>
                <c:pt idx="20">
                  <c:v>63.75</c:v>
                </c:pt>
                <c:pt idx="21">
                  <c:v>64.875</c:v>
                </c:pt>
                <c:pt idx="22">
                  <c:v>66</c:v>
                </c:pt>
                <c:pt idx="23">
                  <c:v>67.125</c:v>
                </c:pt>
                <c:pt idx="24">
                  <c:v>68.25</c:v>
                </c:pt>
                <c:pt idx="25">
                  <c:v>69.375</c:v>
                </c:pt>
                <c:pt idx="26">
                  <c:v>70.5</c:v>
                </c:pt>
                <c:pt idx="27">
                  <c:v>71.625</c:v>
                </c:pt>
                <c:pt idx="28">
                  <c:v>72.75</c:v>
                </c:pt>
                <c:pt idx="29">
                  <c:v>73.875</c:v>
                </c:pt>
                <c:pt idx="30">
                  <c:v>75</c:v>
                </c:pt>
                <c:pt idx="31">
                  <c:v>76.125</c:v>
                </c:pt>
                <c:pt idx="32">
                  <c:v>77.25</c:v>
                </c:pt>
                <c:pt idx="33">
                  <c:v>78.375</c:v>
                </c:pt>
                <c:pt idx="34">
                  <c:v>79.5</c:v>
                </c:pt>
                <c:pt idx="35">
                  <c:v>80.625</c:v>
                </c:pt>
                <c:pt idx="36">
                  <c:v>81.75</c:v>
                </c:pt>
                <c:pt idx="37">
                  <c:v>82.875</c:v>
                </c:pt>
                <c:pt idx="38">
                  <c:v>84</c:v>
                </c:pt>
                <c:pt idx="39">
                  <c:v>85.125</c:v>
                </c:pt>
                <c:pt idx="40">
                  <c:v>86.25</c:v>
                </c:pt>
                <c:pt idx="41">
                  <c:v>87.375</c:v>
                </c:pt>
                <c:pt idx="42">
                  <c:v>88.5</c:v>
                </c:pt>
                <c:pt idx="43">
                  <c:v>89.625</c:v>
                </c:pt>
                <c:pt idx="44">
                  <c:v>90.75</c:v>
                </c:pt>
                <c:pt idx="45">
                  <c:v>91.875</c:v>
                </c:pt>
                <c:pt idx="46">
                  <c:v>93</c:v>
                </c:pt>
                <c:pt idx="47">
                  <c:v>94.125</c:v>
                </c:pt>
                <c:pt idx="48">
                  <c:v>95.25</c:v>
                </c:pt>
                <c:pt idx="49">
                  <c:v>96.375</c:v>
                </c:pt>
                <c:pt idx="50">
                  <c:v>97.5</c:v>
                </c:pt>
                <c:pt idx="51">
                  <c:v>98.625</c:v>
                </c:pt>
                <c:pt idx="52">
                  <c:v>99.75</c:v>
                </c:pt>
                <c:pt idx="53">
                  <c:v>100.875</c:v>
                </c:pt>
                <c:pt idx="54">
                  <c:v>102</c:v>
                </c:pt>
                <c:pt idx="55">
                  <c:v>103.125</c:v>
                </c:pt>
                <c:pt idx="56">
                  <c:v>104.25</c:v>
                </c:pt>
                <c:pt idx="57">
                  <c:v>105.375</c:v>
                </c:pt>
                <c:pt idx="58">
                  <c:v>106.5</c:v>
                </c:pt>
                <c:pt idx="59">
                  <c:v>107.625</c:v>
                </c:pt>
                <c:pt idx="60">
                  <c:v>108.75</c:v>
                </c:pt>
              </c:numCache>
            </c:numRef>
          </c:yVal>
        </c:ser>
        <c:ser>
          <c:idx val="1"/>
          <c:order val="1"/>
          <c:tx>
            <c:v>Swap</c:v>
          </c:tx>
          <c:spPr>
            <a:ln w="28575">
              <a:solidFill>
                <a:srgbClr val="2A78D6"/>
              </a:solidFill>
              <a:prstDash val="solid"/>
            </a:ln>
          </c:spPr>
          <c:marker>
            <c:symbol val="none"/>
          </c:marker>
          <c:xVal>
            <c:numRef>
              <c:f>Scenarios!$B$3:$B$63</c:f>
              <c:numCache>
                <c:formatCode>General</c:formatCode>
                <c:ptCount val="61"/>
                <c:pt idx="0">
                  <c:v>41.25</c:v>
                </c:pt>
                <c:pt idx="1">
                  <c:v>42.375</c:v>
                </c:pt>
                <c:pt idx="2">
                  <c:v>43.5</c:v>
                </c:pt>
                <c:pt idx="3">
                  <c:v>44.625</c:v>
                </c:pt>
                <c:pt idx="4">
                  <c:v>45.75</c:v>
                </c:pt>
                <c:pt idx="5">
                  <c:v>46.875</c:v>
                </c:pt>
                <c:pt idx="6">
                  <c:v>48</c:v>
                </c:pt>
                <c:pt idx="7">
                  <c:v>49.125</c:v>
                </c:pt>
                <c:pt idx="8">
                  <c:v>50.25</c:v>
                </c:pt>
                <c:pt idx="9">
                  <c:v>51.375</c:v>
                </c:pt>
                <c:pt idx="10">
                  <c:v>52.5</c:v>
                </c:pt>
                <c:pt idx="11">
                  <c:v>53.625</c:v>
                </c:pt>
                <c:pt idx="12">
                  <c:v>54.75</c:v>
                </c:pt>
                <c:pt idx="13">
                  <c:v>55.875</c:v>
                </c:pt>
                <c:pt idx="14">
                  <c:v>57</c:v>
                </c:pt>
                <c:pt idx="15">
                  <c:v>58.125</c:v>
                </c:pt>
                <c:pt idx="16">
                  <c:v>59.25</c:v>
                </c:pt>
                <c:pt idx="17">
                  <c:v>60.375</c:v>
                </c:pt>
                <c:pt idx="18">
                  <c:v>61.5</c:v>
                </c:pt>
                <c:pt idx="19">
                  <c:v>62.625</c:v>
                </c:pt>
                <c:pt idx="20">
                  <c:v>63.75</c:v>
                </c:pt>
                <c:pt idx="21">
                  <c:v>64.875</c:v>
                </c:pt>
                <c:pt idx="22">
                  <c:v>66</c:v>
                </c:pt>
                <c:pt idx="23">
                  <c:v>67.125</c:v>
                </c:pt>
                <c:pt idx="24">
                  <c:v>68.25</c:v>
                </c:pt>
                <c:pt idx="25">
                  <c:v>69.375</c:v>
                </c:pt>
                <c:pt idx="26">
                  <c:v>70.5</c:v>
                </c:pt>
                <c:pt idx="27">
                  <c:v>71.625</c:v>
                </c:pt>
                <c:pt idx="28">
                  <c:v>72.75</c:v>
                </c:pt>
                <c:pt idx="29">
                  <c:v>73.875</c:v>
                </c:pt>
                <c:pt idx="30">
                  <c:v>75</c:v>
                </c:pt>
                <c:pt idx="31">
                  <c:v>76.125</c:v>
                </c:pt>
                <c:pt idx="32">
                  <c:v>77.25</c:v>
                </c:pt>
                <c:pt idx="33">
                  <c:v>78.375</c:v>
                </c:pt>
                <c:pt idx="34">
                  <c:v>79.5</c:v>
                </c:pt>
                <c:pt idx="35">
                  <c:v>80.625</c:v>
                </c:pt>
                <c:pt idx="36">
                  <c:v>81.75</c:v>
                </c:pt>
                <c:pt idx="37">
                  <c:v>82.875</c:v>
                </c:pt>
                <c:pt idx="38">
                  <c:v>84</c:v>
                </c:pt>
                <c:pt idx="39">
                  <c:v>85.125</c:v>
                </c:pt>
                <c:pt idx="40">
                  <c:v>86.25</c:v>
                </c:pt>
                <c:pt idx="41">
                  <c:v>87.375</c:v>
                </c:pt>
                <c:pt idx="42">
                  <c:v>88.5</c:v>
                </c:pt>
                <c:pt idx="43">
                  <c:v>89.625</c:v>
                </c:pt>
                <c:pt idx="44">
                  <c:v>90.75</c:v>
                </c:pt>
                <c:pt idx="45">
                  <c:v>91.875</c:v>
                </c:pt>
                <c:pt idx="46">
                  <c:v>93</c:v>
                </c:pt>
                <c:pt idx="47">
                  <c:v>94.125</c:v>
                </c:pt>
                <c:pt idx="48">
                  <c:v>95.25</c:v>
                </c:pt>
                <c:pt idx="49">
                  <c:v>96.375</c:v>
                </c:pt>
                <c:pt idx="50">
                  <c:v>97.5</c:v>
                </c:pt>
                <c:pt idx="51">
                  <c:v>98.625</c:v>
                </c:pt>
                <c:pt idx="52">
                  <c:v>99.75</c:v>
                </c:pt>
                <c:pt idx="53">
                  <c:v>100.875</c:v>
                </c:pt>
                <c:pt idx="54">
                  <c:v>102</c:v>
                </c:pt>
                <c:pt idx="55">
                  <c:v>103.125</c:v>
                </c:pt>
                <c:pt idx="56">
                  <c:v>104.25</c:v>
                </c:pt>
                <c:pt idx="57">
                  <c:v>105.375</c:v>
                </c:pt>
                <c:pt idx="58">
                  <c:v>106.5</c:v>
                </c:pt>
                <c:pt idx="59">
                  <c:v>107.625</c:v>
                </c:pt>
                <c:pt idx="60">
                  <c:v>108.75</c:v>
                </c:pt>
              </c:numCache>
            </c:numRef>
          </c:xVal>
          <c:yVal>
            <c:numRef>
              <c:f>Scenarios!$D$3:$D$63</c:f>
              <c:numCache>
                <c:formatCode>General</c:formatCode>
                <c:ptCount val="61"/>
                <c:pt idx="0">
                  <c:v>72.6958333333333</c:v>
                </c:pt>
                <c:pt idx="1">
                  <c:v>72.6958333333333</c:v>
                </c:pt>
                <c:pt idx="2">
                  <c:v>72.6958333333333</c:v>
                </c:pt>
                <c:pt idx="3">
                  <c:v>72.6958333333333</c:v>
                </c:pt>
                <c:pt idx="4">
                  <c:v>72.6958333333333</c:v>
                </c:pt>
                <c:pt idx="5">
                  <c:v>72.6958333333333</c:v>
                </c:pt>
                <c:pt idx="6">
                  <c:v>72.6958333333333</c:v>
                </c:pt>
                <c:pt idx="7">
                  <c:v>72.6958333333333</c:v>
                </c:pt>
                <c:pt idx="8">
                  <c:v>72.6958333333333</c:v>
                </c:pt>
                <c:pt idx="9">
                  <c:v>72.6958333333333</c:v>
                </c:pt>
                <c:pt idx="10">
                  <c:v>72.6958333333333</c:v>
                </c:pt>
                <c:pt idx="11">
                  <c:v>72.6958333333333</c:v>
                </c:pt>
                <c:pt idx="12">
                  <c:v>72.6958333333333</c:v>
                </c:pt>
                <c:pt idx="13">
                  <c:v>72.6958333333333</c:v>
                </c:pt>
                <c:pt idx="14">
                  <c:v>72.6958333333333</c:v>
                </c:pt>
                <c:pt idx="15">
                  <c:v>72.6958333333333</c:v>
                </c:pt>
                <c:pt idx="16">
                  <c:v>72.6958333333333</c:v>
                </c:pt>
                <c:pt idx="17">
                  <c:v>72.6958333333333</c:v>
                </c:pt>
                <c:pt idx="18">
                  <c:v>72.6958333333333</c:v>
                </c:pt>
                <c:pt idx="19">
                  <c:v>72.6958333333333</c:v>
                </c:pt>
                <c:pt idx="20">
                  <c:v>72.6958333333333</c:v>
                </c:pt>
                <c:pt idx="21">
                  <c:v>72.6958333333333</c:v>
                </c:pt>
                <c:pt idx="22">
                  <c:v>72.6958333333333</c:v>
                </c:pt>
                <c:pt idx="23">
                  <c:v>72.6958333333333</c:v>
                </c:pt>
                <c:pt idx="24">
                  <c:v>72.6958333333333</c:v>
                </c:pt>
                <c:pt idx="25">
                  <c:v>72.6958333333333</c:v>
                </c:pt>
                <c:pt idx="26">
                  <c:v>72.6958333333333</c:v>
                </c:pt>
                <c:pt idx="27">
                  <c:v>72.6958333333333</c:v>
                </c:pt>
                <c:pt idx="28">
                  <c:v>72.6958333333333</c:v>
                </c:pt>
                <c:pt idx="29">
                  <c:v>72.6958333333333</c:v>
                </c:pt>
                <c:pt idx="30">
                  <c:v>72.6958333333333</c:v>
                </c:pt>
                <c:pt idx="31">
                  <c:v>72.6958333333333</c:v>
                </c:pt>
                <c:pt idx="32">
                  <c:v>72.6958333333333</c:v>
                </c:pt>
                <c:pt idx="33">
                  <c:v>72.6958333333333</c:v>
                </c:pt>
                <c:pt idx="34">
                  <c:v>72.6958333333333</c:v>
                </c:pt>
                <c:pt idx="35">
                  <c:v>72.6958333333333</c:v>
                </c:pt>
                <c:pt idx="36">
                  <c:v>72.6958333333333</c:v>
                </c:pt>
                <c:pt idx="37">
                  <c:v>72.6958333333333</c:v>
                </c:pt>
                <c:pt idx="38">
                  <c:v>72.6958333333333</c:v>
                </c:pt>
                <c:pt idx="39">
                  <c:v>72.6958333333333</c:v>
                </c:pt>
                <c:pt idx="40">
                  <c:v>72.6958333333333</c:v>
                </c:pt>
                <c:pt idx="41">
                  <c:v>72.6958333333333</c:v>
                </c:pt>
                <c:pt idx="42">
                  <c:v>72.6958333333333</c:v>
                </c:pt>
                <c:pt idx="43">
                  <c:v>72.6958333333333</c:v>
                </c:pt>
                <c:pt idx="44">
                  <c:v>72.6958333333333</c:v>
                </c:pt>
                <c:pt idx="45">
                  <c:v>72.6958333333333</c:v>
                </c:pt>
                <c:pt idx="46">
                  <c:v>72.6958333333333</c:v>
                </c:pt>
                <c:pt idx="47">
                  <c:v>72.6958333333333</c:v>
                </c:pt>
                <c:pt idx="48">
                  <c:v>72.6958333333333</c:v>
                </c:pt>
                <c:pt idx="49">
                  <c:v>72.6958333333333</c:v>
                </c:pt>
                <c:pt idx="50">
                  <c:v>72.6958333333333</c:v>
                </c:pt>
                <c:pt idx="51">
                  <c:v>72.6958333333333</c:v>
                </c:pt>
                <c:pt idx="52">
                  <c:v>72.6958333333333</c:v>
                </c:pt>
                <c:pt idx="53">
                  <c:v>72.6958333333333</c:v>
                </c:pt>
                <c:pt idx="54">
                  <c:v>72.6958333333333</c:v>
                </c:pt>
                <c:pt idx="55">
                  <c:v>72.6958333333333</c:v>
                </c:pt>
                <c:pt idx="56">
                  <c:v>72.6958333333333</c:v>
                </c:pt>
                <c:pt idx="57">
                  <c:v>72.6958333333333</c:v>
                </c:pt>
                <c:pt idx="58">
                  <c:v>72.6958333333333</c:v>
                </c:pt>
                <c:pt idx="59">
                  <c:v>72.6958333333333</c:v>
                </c:pt>
                <c:pt idx="60">
                  <c:v>72.6958333333333</c:v>
                </c:pt>
              </c:numCache>
            </c:numRef>
          </c:yVal>
        </c:ser>
        <c:ser>
          <c:idx val="2"/>
          <c:order val="2"/>
          <c:tx>
            <c:v>Call (cap)</c:v>
          </c:tx>
          <c:spPr>
            <a:ln w="28575">
              <a:solidFill>
                <a:srgbClr val="EB6834"/>
              </a:solidFill>
              <a:prstDash val="solid"/>
            </a:ln>
          </c:spPr>
          <c:marker>
            <c:symbol val="none"/>
          </c:marker>
          <c:xVal>
            <c:numRef>
              <c:f>Scenarios!$B$3:$B$63</c:f>
              <c:numCache>
                <c:formatCode>General</c:formatCode>
                <c:ptCount val="61"/>
                <c:pt idx="0">
                  <c:v>41.25</c:v>
                </c:pt>
                <c:pt idx="1">
                  <c:v>42.375</c:v>
                </c:pt>
                <c:pt idx="2">
                  <c:v>43.5</c:v>
                </c:pt>
                <c:pt idx="3">
                  <c:v>44.625</c:v>
                </c:pt>
                <c:pt idx="4">
                  <c:v>45.75</c:v>
                </c:pt>
                <c:pt idx="5">
                  <c:v>46.875</c:v>
                </c:pt>
                <c:pt idx="6">
                  <c:v>48</c:v>
                </c:pt>
                <c:pt idx="7">
                  <c:v>49.125</c:v>
                </c:pt>
                <c:pt idx="8">
                  <c:v>50.25</c:v>
                </c:pt>
                <c:pt idx="9">
                  <c:v>51.375</c:v>
                </c:pt>
                <c:pt idx="10">
                  <c:v>52.5</c:v>
                </c:pt>
                <c:pt idx="11">
                  <c:v>53.625</c:v>
                </c:pt>
                <c:pt idx="12">
                  <c:v>54.75</c:v>
                </c:pt>
                <c:pt idx="13">
                  <c:v>55.875</c:v>
                </c:pt>
                <c:pt idx="14">
                  <c:v>57</c:v>
                </c:pt>
                <c:pt idx="15">
                  <c:v>58.125</c:v>
                </c:pt>
                <c:pt idx="16">
                  <c:v>59.25</c:v>
                </c:pt>
                <c:pt idx="17">
                  <c:v>60.375</c:v>
                </c:pt>
                <c:pt idx="18">
                  <c:v>61.5</c:v>
                </c:pt>
                <c:pt idx="19">
                  <c:v>62.625</c:v>
                </c:pt>
                <c:pt idx="20">
                  <c:v>63.75</c:v>
                </c:pt>
                <c:pt idx="21">
                  <c:v>64.875</c:v>
                </c:pt>
                <c:pt idx="22">
                  <c:v>66</c:v>
                </c:pt>
                <c:pt idx="23">
                  <c:v>67.125</c:v>
                </c:pt>
                <c:pt idx="24">
                  <c:v>68.25</c:v>
                </c:pt>
                <c:pt idx="25">
                  <c:v>69.375</c:v>
                </c:pt>
                <c:pt idx="26">
                  <c:v>70.5</c:v>
                </c:pt>
                <c:pt idx="27">
                  <c:v>71.625</c:v>
                </c:pt>
                <c:pt idx="28">
                  <c:v>72.75</c:v>
                </c:pt>
                <c:pt idx="29">
                  <c:v>73.875</c:v>
                </c:pt>
                <c:pt idx="30">
                  <c:v>75</c:v>
                </c:pt>
                <c:pt idx="31">
                  <c:v>76.125</c:v>
                </c:pt>
                <c:pt idx="32">
                  <c:v>77.25</c:v>
                </c:pt>
                <c:pt idx="33">
                  <c:v>78.375</c:v>
                </c:pt>
                <c:pt idx="34">
                  <c:v>79.5</c:v>
                </c:pt>
                <c:pt idx="35">
                  <c:v>80.625</c:v>
                </c:pt>
                <c:pt idx="36">
                  <c:v>81.75</c:v>
                </c:pt>
                <c:pt idx="37">
                  <c:v>82.875</c:v>
                </c:pt>
                <c:pt idx="38">
                  <c:v>84</c:v>
                </c:pt>
                <c:pt idx="39">
                  <c:v>85.125</c:v>
                </c:pt>
                <c:pt idx="40">
                  <c:v>86.25</c:v>
                </c:pt>
                <c:pt idx="41">
                  <c:v>87.375</c:v>
                </c:pt>
                <c:pt idx="42">
                  <c:v>88.5</c:v>
                </c:pt>
                <c:pt idx="43">
                  <c:v>89.625</c:v>
                </c:pt>
                <c:pt idx="44">
                  <c:v>90.75</c:v>
                </c:pt>
                <c:pt idx="45">
                  <c:v>91.875</c:v>
                </c:pt>
                <c:pt idx="46">
                  <c:v>93</c:v>
                </c:pt>
                <c:pt idx="47">
                  <c:v>94.125</c:v>
                </c:pt>
                <c:pt idx="48">
                  <c:v>95.25</c:v>
                </c:pt>
                <c:pt idx="49">
                  <c:v>96.375</c:v>
                </c:pt>
                <c:pt idx="50">
                  <c:v>97.5</c:v>
                </c:pt>
                <c:pt idx="51">
                  <c:v>98.625</c:v>
                </c:pt>
                <c:pt idx="52">
                  <c:v>99.75</c:v>
                </c:pt>
                <c:pt idx="53">
                  <c:v>100.875</c:v>
                </c:pt>
                <c:pt idx="54">
                  <c:v>102</c:v>
                </c:pt>
                <c:pt idx="55">
                  <c:v>103.125</c:v>
                </c:pt>
                <c:pt idx="56">
                  <c:v>104.25</c:v>
                </c:pt>
                <c:pt idx="57">
                  <c:v>105.375</c:v>
                </c:pt>
                <c:pt idx="58">
                  <c:v>106.5</c:v>
                </c:pt>
                <c:pt idx="59">
                  <c:v>107.625</c:v>
                </c:pt>
                <c:pt idx="60">
                  <c:v>108.75</c:v>
                </c:pt>
              </c:numCache>
            </c:numRef>
          </c:xVal>
          <c:yVal>
            <c:numRef>
              <c:f>Scenarios!$E$3:$E$63</c:f>
              <c:numCache>
                <c:formatCode>General</c:formatCode>
                <c:ptCount val="61"/>
                <c:pt idx="0">
                  <c:v>46.367499618506</c:v>
                </c:pt>
                <c:pt idx="1">
                  <c:v>47.492499618506</c:v>
                </c:pt>
                <c:pt idx="2">
                  <c:v>48.617499618506</c:v>
                </c:pt>
                <c:pt idx="3">
                  <c:v>49.742499618506</c:v>
                </c:pt>
                <c:pt idx="4">
                  <c:v>50.867499618506</c:v>
                </c:pt>
                <c:pt idx="5">
                  <c:v>51.992499618506</c:v>
                </c:pt>
                <c:pt idx="6">
                  <c:v>53.117499618506</c:v>
                </c:pt>
                <c:pt idx="7">
                  <c:v>54.242499618506</c:v>
                </c:pt>
                <c:pt idx="8">
                  <c:v>55.367499618506</c:v>
                </c:pt>
                <c:pt idx="9">
                  <c:v>56.492499618506</c:v>
                </c:pt>
                <c:pt idx="10">
                  <c:v>57.617499618506</c:v>
                </c:pt>
                <c:pt idx="11">
                  <c:v>58.742499618506</c:v>
                </c:pt>
                <c:pt idx="12">
                  <c:v>59.867499618506</c:v>
                </c:pt>
                <c:pt idx="13">
                  <c:v>60.992499618506</c:v>
                </c:pt>
                <c:pt idx="14">
                  <c:v>62.117499618506</c:v>
                </c:pt>
                <c:pt idx="15">
                  <c:v>63.242499618506</c:v>
                </c:pt>
                <c:pt idx="16">
                  <c:v>64.367499618506</c:v>
                </c:pt>
                <c:pt idx="17">
                  <c:v>65.492499618506</c:v>
                </c:pt>
                <c:pt idx="18">
                  <c:v>66.617499618506</c:v>
                </c:pt>
                <c:pt idx="19">
                  <c:v>67.742499618506</c:v>
                </c:pt>
                <c:pt idx="20">
                  <c:v>68.867499618506</c:v>
                </c:pt>
                <c:pt idx="21">
                  <c:v>69.992499618506</c:v>
                </c:pt>
                <c:pt idx="22">
                  <c:v>71.117499618506</c:v>
                </c:pt>
                <c:pt idx="23">
                  <c:v>72.242499618506</c:v>
                </c:pt>
                <c:pt idx="24">
                  <c:v>73.367499618506</c:v>
                </c:pt>
                <c:pt idx="25">
                  <c:v>74.492499618506</c:v>
                </c:pt>
                <c:pt idx="26">
                  <c:v>75.617499618506</c:v>
                </c:pt>
                <c:pt idx="27">
                  <c:v>76.742499618506</c:v>
                </c:pt>
                <c:pt idx="28">
                  <c:v>77.867499618506</c:v>
                </c:pt>
                <c:pt idx="29">
                  <c:v>78.992499618506</c:v>
                </c:pt>
                <c:pt idx="30">
                  <c:v>80.117499618506</c:v>
                </c:pt>
                <c:pt idx="31">
                  <c:v>80.117499618506</c:v>
                </c:pt>
                <c:pt idx="32">
                  <c:v>80.117499618506</c:v>
                </c:pt>
                <c:pt idx="33">
                  <c:v>80.117499618506</c:v>
                </c:pt>
                <c:pt idx="34">
                  <c:v>80.117499618506</c:v>
                </c:pt>
                <c:pt idx="35">
                  <c:v>80.117499618506</c:v>
                </c:pt>
                <c:pt idx="36">
                  <c:v>80.117499618506</c:v>
                </c:pt>
                <c:pt idx="37">
                  <c:v>80.117499618506</c:v>
                </c:pt>
                <c:pt idx="38">
                  <c:v>80.117499618506</c:v>
                </c:pt>
                <c:pt idx="39">
                  <c:v>80.117499618506</c:v>
                </c:pt>
                <c:pt idx="40">
                  <c:v>80.117499618506</c:v>
                </c:pt>
                <c:pt idx="41">
                  <c:v>80.117499618506</c:v>
                </c:pt>
                <c:pt idx="42">
                  <c:v>80.117499618506</c:v>
                </c:pt>
                <c:pt idx="43">
                  <c:v>80.117499618506</c:v>
                </c:pt>
                <c:pt idx="44">
                  <c:v>80.117499618506</c:v>
                </c:pt>
                <c:pt idx="45">
                  <c:v>80.117499618506</c:v>
                </c:pt>
                <c:pt idx="46">
                  <c:v>80.117499618506</c:v>
                </c:pt>
                <c:pt idx="47">
                  <c:v>80.117499618506</c:v>
                </c:pt>
                <c:pt idx="48">
                  <c:v>80.117499618506</c:v>
                </c:pt>
                <c:pt idx="49">
                  <c:v>80.117499618506</c:v>
                </c:pt>
                <c:pt idx="50">
                  <c:v>80.117499618506</c:v>
                </c:pt>
                <c:pt idx="51">
                  <c:v>80.117499618506</c:v>
                </c:pt>
                <c:pt idx="52">
                  <c:v>80.117499618506</c:v>
                </c:pt>
                <c:pt idx="53">
                  <c:v>80.117499618506</c:v>
                </c:pt>
                <c:pt idx="54">
                  <c:v>80.117499618506</c:v>
                </c:pt>
                <c:pt idx="55">
                  <c:v>80.117499618506</c:v>
                </c:pt>
                <c:pt idx="56">
                  <c:v>80.117499618506</c:v>
                </c:pt>
                <c:pt idx="57">
                  <c:v>80.117499618506</c:v>
                </c:pt>
                <c:pt idx="58">
                  <c:v>80.117499618506</c:v>
                </c:pt>
                <c:pt idx="59">
                  <c:v>80.117499618506</c:v>
                </c:pt>
                <c:pt idx="60">
                  <c:v>80.117499618506</c:v>
                </c:pt>
              </c:numCache>
            </c:numRef>
          </c:yVal>
        </c:ser>
        <c:ser>
          <c:idx val="3"/>
          <c:order val="3"/>
          <c:tx>
            <c:v>Zero-cost collar</c:v>
          </c:tx>
          <c:spPr>
            <a:ln w="28575">
              <a:solidFill>
                <a:srgbClr val="1BAF7A"/>
              </a:solidFill>
              <a:prstDash val="solid"/>
            </a:ln>
          </c:spPr>
          <c:marker>
            <c:symbol val="none"/>
          </c:marker>
          <c:xVal>
            <c:numRef>
              <c:f>Scenarios!$B$3:$B$63</c:f>
              <c:numCache>
                <c:formatCode>General</c:formatCode>
                <c:ptCount val="61"/>
                <c:pt idx="0">
                  <c:v>41.25</c:v>
                </c:pt>
                <c:pt idx="1">
                  <c:v>42.375</c:v>
                </c:pt>
                <c:pt idx="2">
                  <c:v>43.5</c:v>
                </c:pt>
                <c:pt idx="3">
                  <c:v>44.625</c:v>
                </c:pt>
                <c:pt idx="4">
                  <c:v>45.75</c:v>
                </c:pt>
                <c:pt idx="5">
                  <c:v>46.875</c:v>
                </c:pt>
                <c:pt idx="6">
                  <c:v>48</c:v>
                </c:pt>
                <c:pt idx="7">
                  <c:v>49.125</c:v>
                </c:pt>
                <c:pt idx="8">
                  <c:v>50.25</c:v>
                </c:pt>
                <c:pt idx="9">
                  <c:v>51.375</c:v>
                </c:pt>
                <c:pt idx="10">
                  <c:v>52.5</c:v>
                </c:pt>
                <c:pt idx="11">
                  <c:v>53.625</c:v>
                </c:pt>
                <c:pt idx="12">
                  <c:v>54.75</c:v>
                </c:pt>
                <c:pt idx="13">
                  <c:v>55.875</c:v>
                </c:pt>
                <c:pt idx="14">
                  <c:v>57</c:v>
                </c:pt>
                <c:pt idx="15">
                  <c:v>58.125</c:v>
                </c:pt>
                <c:pt idx="16">
                  <c:v>59.25</c:v>
                </c:pt>
                <c:pt idx="17">
                  <c:v>60.375</c:v>
                </c:pt>
                <c:pt idx="18">
                  <c:v>61.5</c:v>
                </c:pt>
                <c:pt idx="19">
                  <c:v>62.625</c:v>
                </c:pt>
                <c:pt idx="20">
                  <c:v>63.75</c:v>
                </c:pt>
                <c:pt idx="21">
                  <c:v>64.875</c:v>
                </c:pt>
                <c:pt idx="22">
                  <c:v>66</c:v>
                </c:pt>
                <c:pt idx="23">
                  <c:v>67.125</c:v>
                </c:pt>
                <c:pt idx="24">
                  <c:v>68.25</c:v>
                </c:pt>
                <c:pt idx="25">
                  <c:v>69.375</c:v>
                </c:pt>
                <c:pt idx="26">
                  <c:v>70.5</c:v>
                </c:pt>
                <c:pt idx="27">
                  <c:v>71.625</c:v>
                </c:pt>
                <c:pt idx="28">
                  <c:v>72.75</c:v>
                </c:pt>
                <c:pt idx="29">
                  <c:v>73.875</c:v>
                </c:pt>
                <c:pt idx="30">
                  <c:v>75</c:v>
                </c:pt>
                <c:pt idx="31">
                  <c:v>76.125</c:v>
                </c:pt>
                <c:pt idx="32">
                  <c:v>77.25</c:v>
                </c:pt>
                <c:pt idx="33">
                  <c:v>78.375</c:v>
                </c:pt>
                <c:pt idx="34">
                  <c:v>79.5</c:v>
                </c:pt>
                <c:pt idx="35">
                  <c:v>80.625</c:v>
                </c:pt>
                <c:pt idx="36">
                  <c:v>81.75</c:v>
                </c:pt>
                <c:pt idx="37">
                  <c:v>82.875</c:v>
                </c:pt>
                <c:pt idx="38">
                  <c:v>84</c:v>
                </c:pt>
                <c:pt idx="39">
                  <c:v>85.125</c:v>
                </c:pt>
                <c:pt idx="40">
                  <c:v>86.25</c:v>
                </c:pt>
                <c:pt idx="41">
                  <c:v>87.375</c:v>
                </c:pt>
                <c:pt idx="42">
                  <c:v>88.5</c:v>
                </c:pt>
                <c:pt idx="43">
                  <c:v>89.625</c:v>
                </c:pt>
                <c:pt idx="44">
                  <c:v>90.75</c:v>
                </c:pt>
                <c:pt idx="45">
                  <c:v>91.875</c:v>
                </c:pt>
                <c:pt idx="46">
                  <c:v>93</c:v>
                </c:pt>
                <c:pt idx="47">
                  <c:v>94.125</c:v>
                </c:pt>
                <c:pt idx="48">
                  <c:v>95.25</c:v>
                </c:pt>
                <c:pt idx="49">
                  <c:v>96.375</c:v>
                </c:pt>
                <c:pt idx="50">
                  <c:v>97.5</c:v>
                </c:pt>
                <c:pt idx="51">
                  <c:v>98.625</c:v>
                </c:pt>
                <c:pt idx="52">
                  <c:v>99.75</c:v>
                </c:pt>
                <c:pt idx="53">
                  <c:v>100.875</c:v>
                </c:pt>
                <c:pt idx="54">
                  <c:v>102</c:v>
                </c:pt>
                <c:pt idx="55">
                  <c:v>103.125</c:v>
                </c:pt>
                <c:pt idx="56">
                  <c:v>104.25</c:v>
                </c:pt>
                <c:pt idx="57">
                  <c:v>105.375</c:v>
                </c:pt>
                <c:pt idx="58">
                  <c:v>106.5</c:v>
                </c:pt>
                <c:pt idx="59">
                  <c:v>107.625</c:v>
                </c:pt>
                <c:pt idx="60">
                  <c:v>108.75</c:v>
                </c:pt>
              </c:numCache>
            </c:numRef>
          </c:xVal>
          <c:yVal>
            <c:numRef>
              <c:f>Scenarios!$F$3:$F$63</c:f>
              <c:numCache>
                <c:formatCode>General</c:formatCode>
                <c:ptCount val="61"/>
                <c:pt idx="0">
                  <c:v>70.48</c:v>
                </c:pt>
                <c:pt idx="1">
                  <c:v>70.48</c:v>
                </c:pt>
                <c:pt idx="2">
                  <c:v>70.48</c:v>
                </c:pt>
                <c:pt idx="3">
                  <c:v>70.48</c:v>
                </c:pt>
                <c:pt idx="4">
                  <c:v>70.48</c:v>
                </c:pt>
                <c:pt idx="5">
                  <c:v>70.48</c:v>
                </c:pt>
                <c:pt idx="6">
                  <c:v>70.48</c:v>
                </c:pt>
                <c:pt idx="7">
                  <c:v>70.48</c:v>
                </c:pt>
                <c:pt idx="8">
                  <c:v>70.48</c:v>
                </c:pt>
                <c:pt idx="9">
                  <c:v>70.48</c:v>
                </c:pt>
                <c:pt idx="10">
                  <c:v>70.48</c:v>
                </c:pt>
                <c:pt idx="11">
                  <c:v>70.48</c:v>
                </c:pt>
                <c:pt idx="12">
                  <c:v>70.48</c:v>
                </c:pt>
                <c:pt idx="13">
                  <c:v>70.48</c:v>
                </c:pt>
                <c:pt idx="14">
                  <c:v>70.48</c:v>
                </c:pt>
                <c:pt idx="15">
                  <c:v>70.48</c:v>
                </c:pt>
                <c:pt idx="16">
                  <c:v>70.48</c:v>
                </c:pt>
                <c:pt idx="17">
                  <c:v>70.48</c:v>
                </c:pt>
                <c:pt idx="18">
                  <c:v>70.48</c:v>
                </c:pt>
                <c:pt idx="19">
                  <c:v>70.48</c:v>
                </c:pt>
                <c:pt idx="20">
                  <c:v>70.48</c:v>
                </c:pt>
                <c:pt idx="21">
                  <c:v>70.48</c:v>
                </c:pt>
                <c:pt idx="22">
                  <c:v>70.48</c:v>
                </c:pt>
                <c:pt idx="23">
                  <c:v>70.48</c:v>
                </c:pt>
                <c:pt idx="24">
                  <c:v>70.48</c:v>
                </c:pt>
                <c:pt idx="25">
                  <c:v>70.48</c:v>
                </c:pt>
                <c:pt idx="26">
                  <c:v>70.5</c:v>
                </c:pt>
                <c:pt idx="27">
                  <c:v>71.625</c:v>
                </c:pt>
                <c:pt idx="28">
                  <c:v>72.75</c:v>
                </c:pt>
                <c:pt idx="29">
                  <c:v>73.875</c:v>
                </c:pt>
                <c:pt idx="30">
                  <c:v>75</c:v>
                </c:pt>
                <c:pt idx="31">
                  <c:v>75</c:v>
                </c:pt>
                <c:pt idx="32">
                  <c:v>75</c:v>
                </c:pt>
                <c:pt idx="33">
                  <c:v>75</c:v>
                </c:pt>
                <c:pt idx="34">
                  <c:v>75</c:v>
                </c:pt>
                <c:pt idx="35">
                  <c:v>75</c:v>
                </c:pt>
                <c:pt idx="36">
                  <c:v>75</c:v>
                </c:pt>
                <c:pt idx="37">
                  <c:v>75</c:v>
                </c:pt>
                <c:pt idx="38">
                  <c:v>75</c:v>
                </c:pt>
                <c:pt idx="39">
                  <c:v>75</c:v>
                </c:pt>
                <c:pt idx="40">
                  <c:v>75</c:v>
                </c:pt>
                <c:pt idx="41">
                  <c:v>75</c:v>
                </c:pt>
                <c:pt idx="42">
                  <c:v>75</c:v>
                </c:pt>
                <c:pt idx="43">
                  <c:v>75</c:v>
                </c:pt>
                <c:pt idx="44">
                  <c:v>75</c:v>
                </c:pt>
                <c:pt idx="45">
                  <c:v>75</c:v>
                </c:pt>
                <c:pt idx="46">
                  <c:v>75</c:v>
                </c:pt>
                <c:pt idx="47">
                  <c:v>75</c:v>
                </c:pt>
                <c:pt idx="48">
                  <c:v>75</c:v>
                </c:pt>
                <c:pt idx="49">
                  <c:v>75</c:v>
                </c:pt>
                <c:pt idx="50">
                  <c:v>75</c:v>
                </c:pt>
                <c:pt idx="51">
                  <c:v>75</c:v>
                </c:pt>
                <c:pt idx="52">
                  <c:v>75</c:v>
                </c:pt>
                <c:pt idx="53">
                  <c:v>75</c:v>
                </c:pt>
                <c:pt idx="54">
                  <c:v>75</c:v>
                </c:pt>
                <c:pt idx="55">
                  <c:v>75</c:v>
                </c:pt>
                <c:pt idx="56">
                  <c:v>75</c:v>
                </c:pt>
                <c:pt idx="57">
                  <c:v>75</c:v>
                </c:pt>
                <c:pt idx="58">
                  <c:v>75</c:v>
                </c:pt>
                <c:pt idx="59">
                  <c:v>75</c:v>
                </c:pt>
                <c:pt idx="60">
                  <c:v>75</c:v>
                </c:pt>
              </c:numCache>
            </c:numRef>
          </c:yVal>
        </c:ser>
        <c:ser>
          <c:idx val="4"/>
          <c:order val="4"/>
          <c:tx>
            <c:v>Three-way collar</c:v>
          </c:tx>
          <c:spPr>
            <a:ln w="28575">
              <a:solidFill>
                <a:srgbClr val="7A4FD0"/>
              </a:solidFill>
              <a:prstDash val="solid"/>
            </a:ln>
          </c:spPr>
          <c:marker>
            <c:symbol val="none"/>
          </c:marker>
          <c:xVal>
            <c:numRef>
              <c:f>Scenarios!$B$3:$B$63</c:f>
              <c:numCache>
                <c:formatCode>General</c:formatCode>
                <c:ptCount val="61"/>
                <c:pt idx="0">
                  <c:v>41.25</c:v>
                </c:pt>
                <c:pt idx="1">
                  <c:v>42.375</c:v>
                </c:pt>
                <c:pt idx="2">
                  <c:v>43.5</c:v>
                </c:pt>
                <c:pt idx="3">
                  <c:v>44.625</c:v>
                </c:pt>
                <c:pt idx="4">
                  <c:v>45.75</c:v>
                </c:pt>
                <c:pt idx="5">
                  <c:v>46.875</c:v>
                </c:pt>
                <c:pt idx="6">
                  <c:v>48</c:v>
                </c:pt>
                <c:pt idx="7">
                  <c:v>49.125</c:v>
                </c:pt>
                <c:pt idx="8">
                  <c:v>50.25</c:v>
                </c:pt>
                <c:pt idx="9">
                  <c:v>51.375</c:v>
                </c:pt>
                <c:pt idx="10">
                  <c:v>52.5</c:v>
                </c:pt>
                <c:pt idx="11">
                  <c:v>53.625</c:v>
                </c:pt>
                <c:pt idx="12">
                  <c:v>54.75</c:v>
                </c:pt>
                <c:pt idx="13">
                  <c:v>55.875</c:v>
                </c:pt>
                <c:pt idx="14">
                  <c:v>57</c:v>
                </c:pt>
                <c:pt idx="15">
                  <c:v>58.125</c:v>
                </c:pt>
                <c:pt idx="16">
                  <c:v>59.25</c:v>
                </c:pt>
                <c:pt idx="17">
                  <c:v>60.375</c:v>
                </c:pt>
                <c:pt idx="18">
                  <c:v>61.5</c:v>
                </c:pt>
                <c:pt idx="19">
                  <c:v>62.625</c:v>
                </c:pt>
                <c:pt idx="20">
                  <c:v>63.75</c:v>
                </c:pt>
                <c:pt idx="21">
                  <c:v>64.875</c:v>
                </c:pt>
                <c:pt idx="22">
                  <c:v>66</c:v>
                </c:pt>
                <c:pt idx="23">
                  <c:v>67.125</c:v>
                </c:pt>
                <c:pt idx="24">
                  <c:v>68.25</c:v>
                </c:pt>
                <c:pt idx="25">
                  <c:v>69.375</c:v>
                </c:pt>
                <c:pt idx="26">
                  <c:v>70.5</c:v>
                </c:pt>
                <c:pt idx="27">
                  <c:v>71.625</c:v>
                </c:pt>
                <c:pt idx="28">
                  <c:v>72.75</c:v>
                </c:pt>
                <c:pt idx="29">
                  <c:v>73.875</c:v>
                </c:pt>
                <c:pt idx="30">
                  <c:v>75</c:v>
                </c:pt>
                <c:pt idx="31">
                  <c:v>76.125</c:v>
                </c:pt>
                <c:pt idx="32">
                  <c:v>77.25</c:v>
                </c:pt>
                <c:pt idx="33">
                  <c:v>78.375</c:v>
                </c:pt>
                <c:pt idx="34">
                  <c:v>79.5</c:v>
                </c:pt>
                <c:pt idx="35">
                  <c:v>80.625</c:v>
                </c:pt>
                <c:pt idx="36">
                  <c:v>81.75</c:v>
                </c:pt>
                <c:pt idx="37">
                  <c:v>82.875</c:v>
                </c:pt>
                <c:pt idx="38">
                  <c:v>84</c:v>
                </c:pt>
                <c:pt idx="39">
                  <c:v>85.125</c:v>
                </c:pt>
                <c:pt idx="40">
                  <c:v>86.25</c:v>
                </c:pt>
                <c:pt idx="41">
                  <c:v>87.375</c:v>
                </c:pt>
                <c:pt idx="42">
                  <c:v>88.5</c:v>
                </c:pt>
                <c:pt idx="43">
                  <c:v>89.625</c:v>
                </c:pt>
                <c:pt idx="44">
                  <c:v>90.75</c:v>
                </c:pt>
                <c:pt idx="45">
                  <c:v>91.875</c:v>
                </c:pt>
                <c:pt idx="46">
                  <c:v>93</c:v>
                </c:pt>
                <c:pt idx="47">
                  <c:v>94.125</c:v>
                </c:pt>
                <c:pt idx="48">
                  <c:v>95.25</c:v>
                </c:pt>
                <c:pt idx="49">
                  <c:v>96.375</c:v>
                </c:pt>
                <c:pt idx="50">
                  <c:v>97.5</c:v>
                </c:pt>
                <c:pt idx="51">
                  <c:v>98.625</c:v>
                </c:pt>
                <c:pt idx="52">
                  <c:v>99.75</c:v>
                </c:pt>
                <c:pt idx="53">
                  <c:v>100.875</c:v>
                </c:pt>
                <c:pt idx="54">
                  <c:v>102</c:v>
                </c:pt>
                <c:pt idx="55">
                  <c:v>103.125</c:v>
                </c:pt>
                <c:pt idx="56">
                  <c:v>104.25</c:v>
                </c:pt>
                <c:pt idx="57">
                  <c:v>105.375</c:v>
                </c:pt>
                <c:pt idx="58">
                  <c:v>106.5</c:v>
                </c:pt>
                <c:pt idx="59">
                  <c:v>107.625</c:v>
                </c:pt>
                <c:pt idx="60">
                  <c:v>108.75</c:v>
                </c:pt>
              </c:numCache>
            </c:numRef>
          </c:xVal>
          <c:yVal>
            <c:numRef>
              <c:f>Scenarios!$G$3:$G$63</c:f>
              <c:numCache>
                <c:formatCode>General</c:formatCode>
                <c:ptCount val="61"/>
                <c:pt idx="0">
                  <c:v>66.5878</c:v>
                </c:pt>
                <c:pt idx="1">
                  <c:v>66.5878</c:v>
                </c:pt>
                <c:pt idx="2">
                  <c:v>66.5878</c:v>
                </c:pt>
                <c:pt idx="3">
                  <c:v>66.5878</c:v>
                </c:pt>
                <c:pt idx="4">
                  <c:v>66.5878</c:v>
                </c:pt>
                <c:pt idx="5">
                  <c:v>66.5878</c:v>
                </c:pt>
                <c:pt idx="6">
                  <c:v>66.5878</c:v>
                </c:pt>
                <c:pt idx="7">
                  <c:v>66.5878</c:v>
                </c:pt>
                <c:pt idx="8">
                  <c:v>66.5878</c:v>
                </c:pt>
                <c:pt idx="9">
                  <c:v>66.5878</c:v>
                </c:pt>
                <c:pt idx="10">
                  <c:v>66.5878</c:v>
                </c:pt>
                <c:pt idx="11">
                  <c:v>66.5878</c:v>
                </c:pt>
                <c:pt idx="12">
                  <c:v>66.5878</c:v>
                </c:pt>
                <c:pt idx="13">
                  <c:v>66.5878</c:v>
                </c:pt>
                <c:pt idx="14">
                  <c:v>66.5878</c:v>
                </c:pt>
                <c:pt idx="15">
                  <c:v>66.5878</c:v>
                </c:pt>
                <c:pt idx="16">
                  <c:v>66.5878</c:v>
                </c:pt>
                <c:pt idx="17">
                  <c:v>66.5878</c:v>
                </c:pt>
                <c:pt idx="18">
                  <c:v>66.5878</c:v>
                </c:pt>
                <c:pt idx="19">
                  <c:v>66.5878</c:v>
                </c:pt>
                <c:pt idx="20">
                  <c:v>66.5878</c:v>
                </c:pt>
                <c:pt idx="21">
                  <c:v>66.5878</c:v>
                </c:pt>
                <c:pt idx="22">
                  <c:v>66.5878</c:v>
                </c:pt>
                <c:pt idx="23">
                  <c:v>67.125</c:v>
                </c:pt>
                <c:pt idx="24">
                  <c:v>68.25</c:v>
                </c:pt>
                <c:pt idx="25">
                  <c:v>69.375</c:v>
                </c:pt>
                <c:pt idx="26">
                  <c:v>70.5</c:v>
                </c:pt>
                <c:pt idx="27">
                  <c:v>71.625</c:v>
                </c:pt>
                <c:pt idx="28">
                  <c:v>72.75</c:v>
                </c:pt>
                <c:pt idx="29">
                  <c:v>73.875</c:v>
                </c:pt>
                <c:pt idx="30">
                  <c:v>75</c:v>
                </c:pt>
                <c:pt idx="31">
                  <c:v>75</c:v>
                </c:pt>
                <c:pt idx="32">
                  <c:v>75</c:v>
                </c:pt>
                <c:pt idx="33">
                  <c:v>75</c:v>
                </c:pt>
                <c:pt idx="34">
                  <c:v>75</c:v>
                </c:pt>
                <c:pt idx="35">
                  <c:v>75</c:v>
                </c:pt>
                <c:pt idx="36">
                  <c:v>75</c:v>
                </c:pt>
                <c:pt idx="37">
                  <c:v>75</c:v>
                </c:pt>
                <c:pt idx="38">
                  <c:v>75</c:v>
                </c:pt>
                <c:pt idx="39">
                  <c:v>75</c:v>
                </c:pt>
                <c:pt idx="40">
                  <c:v>75</c:v>
                </c:pt>
                <c:pt idx="41">
                  <c:v>75</c:v>
                </c:pt>
                <c:pt idx="42">
                  <c:v>75</c:v>
                </c:pt>
                <c:pt idx="43">
                  <c:v>75</c:v>
                </c:pt>
                <c:pt idx="44">
                  <c:v>75.75</c:v>
                </c:pt>
                <c:pt idx="45">
                  <c:v>76.875</c:v>
                </c:pt>
                <c:pt idx="46">
                  <c:v>78</c:v>
                </c:pt>
                <c:pt idx="47">
                  <c:v>79.125</c:v>
                </c:pt>
                <c:pt idx="48">
                  <c:v>80.25</c:v>
                </c:pt>
                <c:pt idx="49">
                  <c:v>81.375</c:v>
                </c:pt>
                <c:pt idx="50">
                  <c:v>82.5</c:v>
                </c:pt>
                <c:pt idx="51">
                  <c:v>83.625</c:v>
                </c:pt>
                <c:pt idx="52">
                  <c:v>84.75</c:v>
                </c:pt>
                <c:pt idx="53">
                  <c:v>85.875</c:v>
                </c:pt>
                <c:pt idx="54">
                  <c:v>87</c:v>
                </c:pt>
                <c:pt idx="55">
                  <c:v>88.125</c:v>
                </c:pt>
                <c:pt idx="56">
                  <c:v>89.25</c:v>
                </c:pt>
                <c:pt idx="57">
                  <c:v>90.375</c:v>
                </c:pt>
                <c:pt idx="58">
                  <c:v>91.5</c:v>
                </c:pt>
                <c:pt idx="59">
                  <c:v>92.625</c:v>
                </c:pt>
                <c:pt idx="60">
                  <c:v>93.75</c:v>
                </c:pt>
              </c:numCache>
            </c:numRef>
          </c:yVal>
        </c:ser>
        <c:ser>
          <c:idx val="5"/>
          <c:order val="5"/>
          <c:tx>
            <c:v>Participating swap</c:v>
          </c:tx>
          <c:spPr>
            <a:ln w="28575">
              <a:solidFill>
                <a:srgbClr val="EDA100"/>
              </a:solidFill>
              <a:prstDash val="solid"/>
            </a:ln>
          </c:spPr>
          <c:marker>
            <c:symbol val="none"/>
          </c:marker>
          <c:xVal>
            <c:numRef>
              <c:f>Scenarios!$B$3:$B$63</c:f>
              <c:numCache>
                <c:formatCode>General</c:formatCode>
                <c:ptCount val="61"/>
                <c:pt idx="0">
                  <c:v>41.25</c:v>
                </c:pt>
                <c:pt idx="1">
                  <c:v>42.375</c:v>
                </c:pt>
                <c:pt idx="2">
                  <c:v>43.5</c:v>
                </c:pt>
                <c:pt idx="3">
                  <c:v>44.625</c:v>
                </c:pt>
                <c:pt idx="4">
                  <c:v>45.75</c:v>
                </c:pt>
                <c:pt idx="5">
                  <c:v>46.875</c:v>
                </c:pt>
                <c:pt idx="6">
                  <c:v>48</c:v>
                </c:pt>
                <c:pt idx="7">
                  <c:v>49.125</c:v>
                </c:pt>
                <c:pt idx="8">
                  <c:v>50.25</c:v>
                </c:pt>
                <c:pt idx="9">
                  <c:v>51.375</c:v>
                </c:pt>
                <c:pt idx="10">
                  <c:v>52.5</c:v>
                </c:pt>
                <c:pt idx="11">
                  <c:v>53.625</c:v>
                </c:pt>
                <c:pt idx="12">
                  <c:v>54.75</c:v>
                </c:pt>
                <c:pt idx="13">
                  <c:v>55.875</c:v>
                </c:pt>
                <c:pt idx="14">
                  <c:v>57</c:v>
                </c:pt>
                <c:pt idx="15">
                  <c:v>58.125</c:v>
                </c:pt>
                <c:pt idx="16">
                  <c:v>59.25</c:v>
                </c:pt>
                <c:pt idx="17">
                  <c:v>60.375</c:v>
                </c:pt>
                <c:pt idx="18">
                  <c:v>61.5</c:v>
                </c:pt>
                <c:pt idx="19">
                  <c:v>62.625</c:v>
                </c:pt>
                <c:pt idx="20">
                  <c:v>63.75</c:v>
                </c:pt>
                <c:pt idx="21">
                  <c:v>64.875</c:v>
                </c:pt>
                <c:pt idx="22">
                  <c:v>66</c:v>
                </c:pt>
                <c:pt idx="23">
                  <c:v>67.125</c:v>
                </c:pt>
                <c:pt idx="24">
                  <c:v>68.25</c:v>
                </c:pt>
                <c:pt idx="25">
                  <c:v>69.375</c:v>
                </c:pt>
                <c:pt idx="26">
                  <c:v>70.5</c:v>
                </c:pt>
                <c:pt idx="27">
                  <c:v>71.625</c:v>
                </c:pt>
                <c:pt idx="28">
                  <c:v>72.75</c:v>
                </c:pt>
                <c:pt idx="29">
                  <c:v>73.875</c:v>
                </c:pt>
                <c:pt idx="30">
                  <c:v>75</c:v>
                </c:pt>
                <c:pt idx="31">
                  <c:v>76.125</c:v>
                </c:pt>
                <c:pt idx="32">
                  <c:v>77.25</c:v>
                </c:pt>
                <c:pt idx="33">
                  <c:v>78.375</c:v>
                </c:pt>
                <c:pt idx="34">
                  <c:v>79.5</c:v>
                </c:pt>
                <c:pt idx="35">
                  <c:v>80.625</c:v>
                </c:pt>
                <c:pt idx="36">
                  <c:v>81.75</c:v>
                </c:pt>
                <c:pt idx="37">
                  <c:v>82.875</c:v>
                </c:pt>
                <c:pt idx="38">
                  <c:v>84</c:v>
                </c:pt>
                <c:pt idx="39">
                  <c:v>85.125</c:v>
                </c:pt>
                <c:pt idx="40">
                  <c:v>86.25</c:v>
                </c:pt>
                <c:pt idx="41">
                  <c:v>87.375</c:v>
                </c:pt>
                <c:pt idx="42">
                  <c:v>88.5</c:v>
                </c:pt>
                <c:pt idx="43">
                  <c:v>89.625</c:v>
                </c:pt>
                <c:pt idx="44">
                  <c:v>90.75</c:v>
                </c:pt>
                <c:pt idx="45">
                  <c:v>91.875</c:v>
                </c:pt>
                <c:pt idx="46">
                  <c:v>93</c:v>
                </c:pt>
                <c:pt idx="47">
                  <c:v>94.125</c:v>
                </c:pt>
                <c:pt idx="48">
                  <c:v>95.25</c:v>
                </c:pt>
                <c:pt idx="49">
                  <c:v>96.375</c:v>
                </c:pt>
                <c:pt idx="50">
                  <c:v>97.5</c:v>
                </c:pt>
                <c:pt idx="51">
                  <c:v>98.625</c:v>
                </c:pt>
                <c:pt idx="52">
                  <c:v>99.75</c:v>
                </c:pt>
                <c:pt idx="53">
                  <c:v>100.875</c:v>
                </c:pt>
                <c:pt idx="54">
                  <c:v>102</c:v>
                </c:pt>
                <c:pt idx="55">
                  <c:v>103.125</c:v>
                </c:pt>
                <c:pt idx="56">
                  <c:v>104.25</c:v>
                </c:pt>
                <c:pt idx="57">
                  <c:v>105.375</c:v>
                </c:pt>
                <c:pt idx="58">
                  <c:v>106.5</c:v>
                </c:pt>
                <c:pt idx="59">
                  <c:v>107.625</c:v>
                </c:pt>
                <c:pt idx="60">
                  <c:v>108.75</c:v>
                </c:pt>
              </c:numCache>
            </c:numRef>
          </c:xVal>
          <c:yVal>
            <c:numRef>
              <c:f>Scenarios!$H$3:$H$63</c:f>
              <c:numCache>
                <c:formatCode>General</c:formatCode>
                <c:ptCount val="61"/>
                <c:pt idx="0">
                  <c:v>59.13965</c:v>
                </c:pt>
                <c:pt idx="1">
                  <c:v>59.70215</c:v>
                </c:pt>
                <c:pt idx="2">
                  <c:v>60.26465</c:v>
                </c:pt>
                <c:pt idx="3">
                  <c:v>60.82715</c:v>
                </c:pt>
                <c:pt idx="4">
                  <c:v>61.38965</c:v>
                </c:pt>
                <c:pt idx="5">
                  <c:v>61.95215</c:v>
                </c:pt>
                <c:pt idx="6">
                  <c:v>62.51465</c:v>
                </c:pt>
                <c:pt idx="7">
                  <c:v>63.07715</c:v>
                </c:pt>
                <c:pt idx="8">
                  <c:v>63.63965</c:v>
                </c:pt>
                <c:pt idx="9">
                  <c:v>64.20215</c:v>
                </c:pt>
                <c:pt idx="10">
                  <c:v>64.76465</c:v>
                </c:pt>
                <c:pt idx="11">
                  <c:v>65.32715</c:v>
                </c:pt>
                <c:pt idx="12">
                  <c:v>65.88965</c:v>
                </c:pt>
                <c:pt idx="13">
                  <c:v>66.45215</c:v>
                </c:pt>
                <c:pt idx="14">
                  <c:v>67.01465</c:v>
                </c:pt>
                <c:pt idx="15">
                  <c:v>67.57715</c:v>
                </c:pt>
                <c:pt idx="16">
                  <c:v>68.13965</c:v>
                </c:pt>
                <c:pt idx="17">
                  <c:v>68.70215</c:v>
                </c:pt>
                <c:pt idx="18">
                  <c:v>69.26465</c:v>
                </c:pt>
                <c:pt idx="19">
                  <c:v>69.82715</c:v>
                </c:pt>
                <c:pt idx="20">
                  <c:v>70.38965</c:v>
                </c:pt>
                <c:pt idx="21">
                  <c:v>70.95215</c:v>
                </c:pt>
                <c:pt idx="22">
                  <c:v>71.51465</c:v>
                </c:pt>
                <c:pt idx="23">
                  <c:v>72.07715</c:v>
                </c:pt>
                <c:pt idx="24">
                  <c:v>72.63965</c:v>
                </c:pt>
                <c:pt idx="25">
                  <c:v>73.20215</c:v>
                </c:pt>
                <c:pt idx="26">
                  <c:v>73.76465</c:v>
                </c:pt>
                <c:pt idx="27">
                  <c:v>74.32715</c:v>
                </c:pt>
                <c:pt idx="28">
                  <c:v>74.88965</c:v>
                </c:pt>
                <c:pt idx="29">
                  <c:v>75.45215</c:v>
                </c:pt>
                <c:pt idx="30">
                  <c:v>76.01465</c:v>
                </c:pt>
                <c:pt idx="31">
                  <c:v>76.57715</c:v>
                </c:pt>
                <c:pt idx="32">
                  <c:v>77.0293</c:v>
                </c:pt>
                <c:pt idx="33">
                  <c:v>77.0293</c:v>
                </c:pt>
                <c:pt idx="34">
                  <c:v>77.0293</c:v>
                </c:pt>
                <c:pt idx="35">
                  <c:v>77.0293</c:v>
                </c:pt>
                <c:pt idx="36">
                  <c:v>77.0293</c:v>
                </c:pt>
                <c:pt idx="37">
                  <c:v>77.0293</c:v>
                </c:pt>
                <c:pt idx="38">
                  <c:v>77.0293</c:v>
                </c:pt>
                <c:pt idx="39">
                  <c:v>77.0293</c:v>
                </c:pt>
                <c:pt idx="40">
                  <c:v>77.0293</c:v>
                </c:pt>
                <c:pt idx="41">
                  <c:v>77.0293</c:v>
                </c:pt>
                <c:pt idx="42">
                  <c:v>77.0293</c:v>
                </c:pt>
                <c:pt idx="43">
                  <c:v>77.0293</c:v>
                </c:pt>
                <c:pt idx="44">
                  <c:v>77.0293</c:v>
                </c:pt>
                <c:pt idx="45">
                  <c:v>77.0293</c:v>
                </c:pt>
                <c:pt idx="46">
                  <c:v>77.0293</c:v>
                </c:pt>
                <c:pt idx="47">
                  <c:v>77.0293</c:v>
                </c:pt>
                <c:pt idx="48">
                  <c:v>77.0293</c:v>
                </c:pt>
                <c:pt idx="49">
                  <c:v>77.0293</c:v>
                </c:pt>
                <c:pt idx="50">
                  <c:v>77.0293</c:v>
                </c:pt>
                <c:pt idx="51">
                  <c:v>77.0293</c:v>
                </c:pt>
                <c:pt idx="52">
                  <c:v>77.0293</c:v>
                </c:pt>
                <c:pt idx="53">
                  <c:v>77.0293</c:v>
                </c:pt>
                <c:pt idx="54">
                  <c:v>77.0293</c:v>
                </c:pt>
                <c:pt idx="55">
                  <c:v>77.0293</c:v>
                </c:pt>
                <c:pt idx="56">
                  <c:v>77.0293</c:v>
                </c:pt>
                <c:pt idx="57">
                  <c:v>77.0293</c:v>
                </c:pt>
                <c:pt idx="58">
                  <c:v>77.0293</c:v>
                </c:pt>
                <c:pt idx="59">
                  <c:v>77.0293</c:v>
                </c:pt>
                <c:pt idx="60">
                  <c:v>77.0293</c:v>
                </c:pt>
              </c:numCache>
            </c:numRef>
          </c:yVal>
        </c:ser>
        <c:ser>
          <c:idx val="6"/>
          <c:order val="6"/>
          <c:tx>
            <c:v>Double-up swap</c:v>
          </c:tx>
          <c:spPr>
            <a:ln w="28575">
              <a:solidFill>
                <a:srgbClr val="E87BA4"/>
              </a:solidFill>
              <a:prstDash val="solid"/>
            </a:ln>
          </c:spPr>
          <c:marker>
            <c:symbol val="none"/>
          </c:marker>
          <c:xVal>
            <c:numRef>
              <c:f>Scenarios!$B$3:$B$63</c:f>
              <c:numCache>
                <c:formatCode>General</c:formatCode>
                <c:ptCount val="61"/>
                <c:pt idx="0">
                  <c:v>41.25</c:v>
                </c:pt>
                <c:pt idx="1">
                  <c:v>42.375</c:v>
                </c:pt>
                <c:pt idx="2">
                  <c:v>43.5</c:v>
                </c:pt>
                <c:pt idx="3">
                  <c:v>44.625</c:v>
                </c:pt>
                <c:pt idx="4">
                  <c:v>45.75</c:v>
                </c:pt>
                <c:pt idx="5">
                  <c:v>46.875</c:v>
                </c:pt>
                <c:pt idx="6">
                  <c:v>48</c:v>
                </c:pt>
                <c:pt idx="7">
                  <c:v>49.125</c:v>
                </c:pt>
                <c:pt idx="8">
                  <c:v>50.25</c:v>
                </c:pt>
                <c:pt idx="9">
                  <c:v>51.375</c:v>
                </c:pt>
                <c:pt idx="10">
                  <c:v>52.5</c:v>
                </c:pt>
                <c:pt idx="11">
                  <c:v>53.625</c:v>
                </c:pt>
                <c:pt idx="12">
                  <c:v>54.75</c:v>
                </c:pt>
                <c:pt idx="13">
                  <c:v>55.875</c:v>
                </c:pt>
                <c:pt idx="14">
                  <c:v>57</c:v>
                </c:pt>
                <c:pt idx="15">
                  <c:v>58.125</c:v>
                </c:pt>
                <c:pt idx="16">
                  <c:v>59.25</c:v>
                </c:pt>
                <c:pt idx="17">
                  <c:v>60.375</c:v>
                </c:pt>
                <c:pt idx="18">
                  <c:v>61.5</c:v>
                </c:pt>
                <c:pt idx="19">
                  <c:v>62.625</c:v>
                </c:pt>
                <c:pt idx="20">
                  <c:v>63.75</c:v>
                </c:pt>
                <c:pt idx="21">
                  <c:v>64.875</c:v>
                </c:pt>
                <c:pt idx="22">
                  <c:v>66</c:v>
                </c:pt>
                <c:pt idx="23">
                  <c:v>67.125</c:v>
                </c:pt>
                <c:pt idx="24">
                  <c:v>68.25</c:v>
                </c:pt>
                <c:pt idx="25">
                  <c:v>69.375</c:v>
                </c:pt>
                <c:pt idx="26">
                  <c:v>70.5</c:v>
                </c:pt>
                <c:pt idx="27">
                  <c:v>71.625</c:v>
                </c:pt>
                <c:pt idx="28">
                  <c:v>72.75</c:v>
                </c:pt>
                <c:pt idx="29">
                  <c:v>73.875</c:v>
                </c:pt>
                <c:pt idx="30">
                  <c:v>75</c:v>
                </c:pt>
                <c:pt idx="31">
                  <c:v>76.125</c:v>
                </c:pt>
                <c:pt idx="32">
                  <c:v>77.25</c:v>
                </c:pt>
                <c:pt idx="33">
                  <c:v>78.375</c:v>
                </c:pt>
                <c:pt idx="34">
                  <c:v>79.5</c:v>
                </c:pt>
                <c:pt idx="35">
                  <c:v>80.625</c:v>
                </c:pt>
                <c:pt idx="36">
                  <c:v>81.75</c:v>
                </c:pt>
                <c:pt idx="37">
                  <c:v>82.875</c:v>
                </c:pt>
                <c:pt idx="38">
                  <c:v>84</c:v>
                </c:pt>
                <c:pt idx="39">
                  <c:v>85.125</c:v>
                </c:pt>
                <c:pt idx="40">
                  <c:v>86.25</c:v>
                </c:pt>
                <c:pt idx="41">
                  <c:v>87.375</c:v>
                </c:pt>
                <c:pt idx="42">
                  <c:v>88.5</c:v>
                </c:pt>
                <c:pt idx="43">
                  <c:v>89.625</c:v>
                </c:pt>
                <c:pt idx="44">
                  <c:v>90.75</c:v>
                </c:pt>
                <c:pt idx="45">
                  <c:v>91.875</c:v>
                </c:pt>
                <c:pt idx="46">
                  <c:v>93</c:v>
                </c:pt>
                <c:pt idx="47">
                  <c:v>94.125</c:v>
                </c:pt>
                <c:pt idx="48">
                  <c:v>95.25</c:v>
                </c:pt>
                <c:pt idx="49">
                  <c:v>96.375</c:v>
                </c:pt>
                <c:pt idx="50">
                  <c:v>97.5</c:v>
                </c:pt>
                <c:pt idx="51">
                  <c:v>98.625</c:v>
                </c:pt>
                <c:pt idx="52">
                  <c:v>99.75</c:v>
                </c:pt>
                <c:pt idx="53">
                  <c:v>100.875</c:v>
                </c:pt>
                <c:pt idx="54">
                  <c:v>102</c:v>
                </c:pt>
                <c:pt idx="55">
                  <c:v>103.125</c:v>
                </c:pt>
                <c:pt idx="56">
                  <c:v>104.25</c:v>
                </c:pt>
                <c:pt idx="57">
                  <c:v>105.375</c:v>
                </c:pt>
                <c:pt idx="58">
                  <c:v>106.5</c:v>
                </c:pt>
                <c:pt idx="59">
                  <c:v>107.625</c:v>
                </c:pt>
                <c:pt idx="60">
                  <c:v>108.75</c:v>
                </c:pt>
              </c:numCache>
            </c:numRef>
          </c:xVal>
          <c:yVal>
            <c:numRef>
              <c:f>Scenarios!$I$3:$I$63</c:f>
              <c:numCache>
                <c:formatCode>General</c:formatCode>
                <c:ptCount val="61"/>
                <c:pt idx="0">
                  <c:v>95.6122</c:v>
                </c:pt>
                <c:pt idx="1">
                  <c:v>94.4872</c:v>
                </c:pt>
                <c:pt idx="2">
                  <c:v>93.3622</c:v>
                </c:pt>
                <c:pt idx="3">
                  <c:v>92.2372</c:v>
                </c:pt>
                <c:pt idx="4">
                  <c:v>91.1122</c:v>
                </c:pt>
                <c:pt idx="5">
                  <c:v>89.9872</c:v>
                </c:pt>
                <c:pt idx="6">
                  <c:v>88.8622</c:v>
                </c:pt>
                <c:pt idx="7">
                  <c:v>87.7372</c:v>
                </c:pt>
                <c:pt idx="8">
                  <c:v>86.6122</c:v>
                </c:pt>
                <c:pt idx="9">
                  <c:v>85.4872</c:v>
                </c:pt>
                <c:pt idx="10">
                  <c:v>84.3622</c:v>
                </c:pt>
                <c:pt idx="11">
                  <c:v>83.2372</c:v>
                </c:pt>
                <c:pt idx="12">
                  <c:v>82.1122</c:v>
                </c:pt>
                <c:pt idx="13">
                  <c:v>80.9872</c:v>
                </c:pt>
                <c:pt idx="14">
                  <c:v>79.8622</c:v>
                </c:pt>
                <c:pt idx="15">
                  <c:v>78.7372</c:v>
                </c:pt>
                <c:pt idx="16">
                  <c:v>77.6122</c:v>
                </c:pt>
                <c:pt idx="17">
                  <c:v>76.4872</c:v>
                </c:pt>
                <c:pt idx="18">
                  <c:v>75.3622</c:v>
                </c:pt>
                <c:pt idx="19">
                  <c:v>74.2372</c:v>
                </c:pt>
                <c:pt idx="20">
                  <c:v>73.1122</c:v>
                </c:pt>
                <c:pt idx="21">
                  <c:v>71.9872</c:v>
                </c:pt>
                <c:pt idx="22">
                  <c:v>70.8622</c:v>
                </c:pt>
                <c:pt idx="23">
                  <c:v>69.7372</c:v>
                </c:pt>
                <c:pt idx="24">
                  <c:v>68.6122</c:v>
                </c:pt>
                <c:pt idx="25">
                  <c:v>68.4311</c:v>
                </c:pt>
                <c:pt idx="26">
                  <c:v>68.4311</c:v>
                </c:pt>
                <c:pt idx="27">
                  <c:v>68.4311</c:v>
                </c:pt>
                <c:pt idx="28">
                  <c:v>68.4311</c:v>
                </c:pt>
                <c:pt idx="29">
                  <c:v>68.4311</c:v>
                </c:pt>
                <c:pt idx="30">
                  <c:v>68.4311</c:v>
                </c:pt>
                <c:pt idx="31">
                  <c:v>68.4311</c:v>
                </c:pt>
                <c:pt idx="32">
                  <c:v>68.4311</c:v>
                </c:pt>
                <c:pt idx="33">
                  <c:v>68.4311</c:v>
                </c:pt>
                <c:pt idx="34">
                  <c:v>68.4311</c:v>
                </c:pt>
                <c:pt idx="35">
                  <c:v>68.4311</c:v>
                </c:pt>
                <c:pt idx="36">
                  <c:v>68.4311</c:v>
                </c:pt>
                <c:pt idx="37">
                  <c:v>68.4311</c:v>
                </c:pt>
                <c:pt idx="38">
                  <c:v>68.4311</c:v>
                </c:pt>
                <c:pt idx="39">
                  <c:v>68.4311</c:v>
                </c:pt>
                <c:pt idx="40">
                  <c:v>68.4311</c:v>
                </c:pt>
                <c:pt idx="41">
                  <c:v>68.4311</c:v>
                </c:pt>
                <c:pt idx="42">
                  <c:v>68.4311</c:v>
                </c:pt>
                <c:pt idx="43">
                  <c:v>68.4311</c:v>
                </c:pt>
                <c:pt idx="44">
                  <c:v>68.4311</c:v>
                </c:pt>
                <c:pt idx="45">
                  <c:v>68.4311</c:v>
                </c:pt>
                <c:pt idx="46">
                  <c:v>68.4311</c:v>
                </c:pt>
                <c:pt idx="47">
                  <c:v>68.4311</c:v>
                </c:pt>
                <c:pt idx="48">
                  <c:v>68.4311</c:v>
                </c:pt>
                <c:pt idx="49">
                  <c:v>68.4311</c:v>
                </c:pt>
                <c:pt idx="50">
                  <c:v>68.4311</c:v>
                </c:pt>
                <c:pt idx="51">
                  <c:v>68.4311</c:v>
                </c:pt>
                <c:pt idx="52">
                  <c:v>68.4311</c:v>
                </c:pt>
                <c:pt idx="53">
                  <c:v>68.4311</c:v>
                </c:pt>
                <c:pt idx="54">
                  <c:v>68.4311</c:v>
                </c:pt>
                <c:pt idx="55">
                  <c:v>68.4311</c:v>
                </c:pt>
                <c:pt idx="56">
                  <c:v>68.4311</c:v>
                </c:pt>
                <c:pt idx="57">
                  <c:v>68.4311</c:v>
                </c:pt>
                <c:pt idx="58">
                  <c:v>68.4311</c:v>
                </c:pt>
                <c:pt idx="59">
                  <c:v>68.4311</c:v>
                </c:pt>
                <c:pt idx="60">
                  <c:v>68.4311</c:v>
                </c:pt>
              </c:numCache>
            </c:numRef>
          </c:yVal>
        </c:ser>
        <c:axId val="50010001"/>
        <c:axId val="50010002"/>
      </c:scatterChart>
      <c:valAx>
        <c:axId val="50010001"/>
        <c:scaling>
          <c:orientation val="minMax"/>
          <c:max val="110"/>
          <c:min val="40"/>
        </c:scaling>
        <c:axPos val="b"/>
        <c:majorGridlines>
          <c:spPr>
            <a:ln>
              <a:solidFill>
                <a:srgbClr val="E6E6E6"/>
              </a:solidFill>
            </a:ln>
          </c:spPr>
        </c:majorGridlines>
        <c:title>
          <c:tx>
            <c:rich>
              <a:bodyPr/>
              <a:lstStyle/>
              <a:p>
                <a:pPr>
                  <a:defRPr/>
                </a:pPr>
                <a:r>
                  <a:rPr lang="en-US"/>
                  <a:t>Brent over the hedging period (USD/bbl)</a:t>
                </a:r>
              </a:p>
            </c:rich>
          </c:tx>
          <c:layout/>
        </c:title>
        <c:numFmt formatCode="0" sourceLinked="0"/>
        <c:tickLblPos val="nextTo"/>
        <c:crossAx val="50010002"/>
        <c:crosses val="autoZero"/>
        <c:crossBetween val="midCat"/>
      </c:valAx>
      <c:valAx>
        <c:axId val="50010002"/>
        <c:scaling>
          <c:orientation val="minMax"/>
          <c:max val="110"/>
          <c:min val="40"/>
        </c:scaling>
        <c:axPos val="l"/>
        <c:majorGridlines>
          <c:spPr>
            <a:ln>
              <a:solidFill>
                <a:srgbClr val="E6E6E6"/>
              </a:solidFill>
            </a:ln>
          </c:spPr>
        </c:majorGridlines>
        <c:title>
          <c:tx>
            <c:rich>
              <a:bodyPr rot="-5400000" vert="horz"/>
              <a:lstStyle/>
              <a:p>
                <a:pPr>
                  <a:defRPr/>
                </a:pPr>
                <a:r>
                  <a:rPr lang="en-US"/>
                  <a:t>Achieved average price (USD/bbl)</a:t>
                </a:r>
              </a:p>
            </c:rich>
          </c:tx>
          <c:layout/>
        </c:title>
        <c:numFmt formatCode="0" sourceLinked="0"/>
        <c:tickLblPos val="nextTo"/>
        <c:crossAx val="50010001"/>
        <c:crosses val="autoZero"/>
        <c:crossBetween val="midCat"/>
      </c:valAx>
    </c:plotArea>
    <c:legend>
      <c:legendPos val="b"/>
      <c:layout/>
    </c:legend>
    <c:plotVisOnly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baseline="0"/>
            </a:pPr>
            <a:r>
              <a:rPr lang="en-US" sz="1200" b="1" baseline="0"/>
              <a:t>Distribution of outcomes: 1% = best case, 99% = worst case</a:t>
            </a:r>
          </a:p>
        </c:rich>
      </c:tx>
      <c:layout/>
    </c:title>
    <c:plotArea>
      <c:layout/>
      <c:scatterChart>
        <c:scatterStyle val="lineMarker"/>
        <c:ser>
          <c:idx val="0"/>
          <c:order val="0"/>
          <c:tx>
            <c:v>Unhedged</c:v>
          </c:tx>
          <c:spPr>
            <a:ln w="19050">
              <a:solidFill>
                <a:srgbClr val="8A8985"/>
              </a:solidFill>
              <a:prstDash val="dash"/>
            </a:ln>
          </c:spPr>
          <c:marker>
            <c:symbol val="none"/>
          </c:marker>
          <c:xVal>
            <c:numRef>
              <c:f>Distribution!$A$3:$A$101</c:f>
              <c:numCache>
                <c:formatCode>General</c:formatCode>
                <c:ptCount val="99"/>
                <c:pt idx="0">
                  <c:v>0.01</c:v>
                </c:pt>
                <c:pt idx="1">
                  <c:v>0.02</c:v>
                </c:pt>
                <c:pt idx="2">
                  <c:v>0.03</c:v>
                </c:pt>
                <c:pt idx="3">
                  <c:v>0.04</c:v>
                </c:pt>
                <c:pt idx="4">
                  <c:v>0.05</c:v>
                </c:pt>
                <c:pt idx="5">
                  <c:v>0.06</c:v>
                </c:pt>
                <c:pt idx="6">
                  <c:v>0.07000000000000001</c:v>
                </c:pt>
                <c:pt idx="7">
                  <c:v>0.08</c:v>
                </c:pt>
                <c:pt idx="8">
                  <c:v>0.09</c:v>
                </c:pt>
                <c:pt idx="9">
                  <c:v>0.1</c:v>
                </c:pt>
                <c:pt idx="10">
                  <c:v>0.11</c:v>
                </c:pt>
                <c:pt idx="11">
                  <c:v>0.12</c:v>
                </c:pt>
                <c:pt idx="12">
                  <c:v>0.13</c:v>
                </c:pt>
                <c:pt idx="13">
                  <c:v>0.14</c:v>
                </c:pt>
                <c:pt idx="14">
                  <c:v>0.15</c:v>
                </c:pt>
                <c:pt idx="15">
                  <c:v>0.16</c:v>
                </c:pt>
                <c:pt idx="16">
                  <c:v>0.17</c:v>
                </c:pt>
                <c:pt idx="17">
                  <c:v>0.18</c:v>
                </c:pt>
                <c:pt idx="18">
                  <c:v>0.19</c:v>
                </c:pt>
                <c:pt idx="19">
                  <c:v>0.2</c:v>
                </c:pt>
                <c:pt idx="20">
                  <c:v>0.21</c:v>
                </c:pt>
                <c:pt idx="21">
                  <c:v>0.22</c:v>
                </c:pt>
                <c:pt idx="22">
                  <c:v>0.23</c:v>
                </c:pt>
                <c:pt idx="23">
                  <c:v>0.24</c:v>
                </c:pt>
                <c:pt idx="24">
                  <c:v>0.25</c:v>
                </c:pt>
                <c:pt idx="25">
                  <c:v>0.26</c:v>
                </c:pt>
                <c:pt idx="26">
                  <c:v>0.27</c:v>
                </c:pt>
                <c:pt idx="27">
                  <c:v>0.28</c:v>
                </c:pt>
                <c:pt idx="28">
                  <c:v>0.29</c:v>
                </c:pt>
                <c:pt idx="29">
                  <c:v>0.3</c:v>
                </c:pt>
                <c:pt idx="30">
                  <c:v>0.31</c:v>
                </c:pt>
                <c:pt idx="31">
                  <c:v>0.32</c:v>
                </c:pt>
                <c:pt idx="32">
                  <c:v>0.33</c:v>
                </c:pt>
                <c:pt idx="33">
                  <c:v>0.34</c:v>
                </c:pt>
                <c:pt idx="34">
                  <c:v>0.35</c:v>
                </c:pt>
                <c:pt idx="35">
                  <c:v>0.36</c:v>
                </c:pt>
                <c:pt idx="36">
                  <c:v>0.37</c:v>
                </c:pt>
                <c:pt idx="37">
                  <c:v>0.38</c:v>
                </c:pt>
                <c:pt idx="38">
                  <c:v>0.39</c:v>
                </c:pt>
                <c:pt idx="39">
                  <c:v>0.4</c:v>
                </c:pt>
                <c:pt idx="40">
                  <c:v>0.41</c:v>
                </c:pt>
                <c:pt idx="41">
                  <c:v>0.42</c:v>
                </c:pt>
                <c:pt idx="42">
                  <c:v>0.43</c:v>
                </c:pt>
                <c:pt idx="43">
                  <c:v>0.44</c:v>
                </c:pt>
                <c:pt idx="44">
                  <c:v>0.45</c:v>
                </c:pt>
                <c:pt idx="45">
                  <c:v>0.46</c:v>
                </c:pt>
                <c:pt idx="46">
                  <c:v>0.47</c:v>
                </c:pt>
                <c:pt idx="47">
                  <c:v>0.48</c:v>
                </c:pt>
                <c:pt idx="48">
                  <c:v>0.49</c:v>
                </c:pt>
                <c:pt idx="49">
                  <c:v>0.5</c:v>
                </c:pt>
                <c:pt idx="50">
                  <c:v>0.51</c:v>
                </c:pt>
                <c:pt idx="51">
                  <c:v>0.52</c:v>
                </c:pt>
                <c:pt idx="52">
                  <c:v>0.53</c:v>
                </c:pt>
                <c:pt idx="53">
                  <c:v>0.54</c:v>
                </c:pt>
                <c:pt idx="54">
                  <c:v>0.55</c:v>
                </c:pt>
                <c:pt idx="55">
                  <c:v>0.5600000000000001</c:v>
                </c:pt>
                <c:pt idx="56">
                  <c:v>0.57</c:v>
                </c:pt>
                <c:pt idx="57">
                  <c:v>0.58</c:v>
                </c:pt>
                <c:pt idx="58">
                  <c:v>0.59</c:v>
                </c:pt>
                <c:pt idx="59">
                  <c:v>0.6</c:v>
                </c:pt>
                <c:pt idx="60">
                  <c:v>0.61</c:v>
                </c:pt>
                <c:pt idx="61">
                  <c:v>0.62</c:v>
                </c:pt>
                <c:pt idx="62">
                  <c:v>0.63</c:v>
                </c:pt>
                <c:pt idx="63">
                  <c:v>0.64</c:v>
                </c:pt>
                <c:pt idx="64">
                  <c:v>0.65</c:v>
                </c:pt>
                <c:pt idx="65">
                  <c:v>0.66</c:v>
                </c:pt>
                <c:pt idx="66">
                  <c:v>0.67</c:v>
                </c:pt>
                <c:pt idx="67">
                  <c:v>0.68</c:v>
                </c:pt>
                <c:pt idx="68">
                  <c:v>0.6899999999999999</c:v>
                </c:pt>
                <c:pt idx="69">
                  <c:v>0.7</c:v>
                </c:pt>
                <c:pt idx="70">
                  <c:v>0.71</c:v>
                </c:pt>
                <c:pt idx="71">
                  <c:v>0.72</c:v>
                </c:pt>
                <c:pt idx="72">
                  <c:v>0.73</c:v>
                </c:pt>
                <c:pt idx="73">
                  <c:v>0.74</c:v>
                </c:pt>
                <c:pt idx="74">
                  <c:v>0.75</c:v>
                </c:pt>
                <c:pt idx="75">
                  <c:v>0.76</c:v>
                </c:pt>
                <c:pt idx="76">
                  <c:v>0.77</c:v>
                </c:pt>
                <c:pt idx="77">
                  <c:v>0.78</c:v>
                </c:pt>
                <c:pt idx="78">
                  <c:v>0.79</c:v>
                </c:pt>
                <c:pt idx="79">
                  <c:v>0.8</c:v>
                </c:pt>
                <c:pt idx="80">
                  <c:v>0.8100000000000001</c:v>
                </c:pt>
                <c:pt idx="81">
                  <c:v>0.82</c:v>
                </c:pt>
                <c:pt idx="82">
                  <c:v>0.83</c:v>
                </c:pt>
                <c:pt idx="83">
                  <c:v>0.84</c:v>
                </c:pt>
                <c:pt idx="84">
                  <c:v>0.85</c:v>
                </c:pt>
                <c:pt idx="85">
                  <c:v>0.86</c:v>
                </c:pt>
                <c:pt idx="86">
                  <c:v>0.87</c:v>
                </c:pt>
                <c:pt idx="87">
                  <c:v>0.88</c:v>
                </c:pt>
                <c:pt idx="88">
                  <c:v>0.89</c:v>
                </c:pt>
                <c:pt idx="89">
                  <c:v>0.9</c:v>
                </c:pt>
                <c:pt idx="90">
                  <c:v>0.91</c:v>
                </c:pt>
                <c:pt idx="91">
                  <c:v>0.92</c:v>
                </c:pt>
                <c:pt idx="92">
                  <c:v>0.93</c:v>
                </c:pt>
                <c:pt idx="93">
                  <c:v>0.9399999999999999</c:v>
                </c:pt>
                <c:pt idx="94">
                  <c:v>0.95</c:v>
                </c:pt>
                <c:pt idx="95">
                  <c:v>0.96</c:v>
                </c:pt>
                <c:pt idx="96">
                  <c:v>0.97</c:v>
                </c:pt>
                <c:pt idx="97">
                  <c:v>0.98</c:v>
                </c:pt>
                <c:pt idx="98">
                  <c:v>0.99</c:v>
                </c:pt>
              </c:numCache>
            </c:numRef>
          </c:xVal>
          <c:yVal>
            <c:numRef>
              <c:f>Distribution!$B$3:$B$101</c:f>
              <c:numCache>
                <c:formatCode>General</c:formatCode>
                <c:ptCount val="99"/>
                <c:pt idx="0">
                  <c:v>46.5718604595841</c:v>
                </c:pt>
                <c:pt idx="1">
                  <c:v>48.9190581626315</c:v>
                </c:pt>
                <c:pt idx="2">
                  <c:v>50.6239864326052</c:v>
                </c:pt>
                <c:pt idx="3">
                  <c:v>51.9054075453169</c:v>
                </c:pt>
                <c:pt idx="4">
                  <c:v>52.7956273109663</c:v>
                </c:pt>
                <c:pt idx="5">
                  <c:v>53.6298780040069</c:v>
                </c:pt>
                <c:pt idx="6">
                  <c:v>54.4399406997311</c:v>
                </c:pt>
                <c:pt idx="7">
                  <c:v>55.1893073380845</c:v>
                </c:pt>
                <c:pt idx="8">
                  <c:v>55.8294543648261</c:v>
                </c:pt>
                <c:pt idx="9">
                  <c:v>56.4447391371709</c:v>
                </c:pt>
                <c:pt idx="10">
                  <c:v>57.0224515824993</c:v>
                </c:pt>
                <c:pt idx="11">
                  <c:v>57.5154172817516</c:v>
                </c:pt>
                <c:pt idx="12">
                  <c:v>58.0817055366699</c:v>
                </c:pt>
                <c:pt idx="13">
                  <c:v>58.5394906068973</c:v>
                </c:pt>
                <c:pt idx="14">
                  <c:v>59.0535167402989</c:v>
                </c:pt>
                <c:pt idx="15">
                  <c:v>59.5522172043479</c:v>
                </c:pt>
                <c:pt idx="16">
                  <c:v>59.9763472756858</c:v>
                </c:pt>
                <c:pt idx="17">
                  <c:v>60.3773053160125</c:v>
                </c:pt>
                <c:pt idx="18">
                  <c:v>60.7883060218117</c:v>
                </c:pt>
                <c:pt idx="19">
                  <c:v>61.1891850598067</c:v>
                </c:pt>
                <c:pt idx="20">
                  <c:v>61.6078124165091</c:v>
                </c:pt>
                <c:pt idx="21">
                  <c:v>61.9742909346344</c:v>
                </c:pt>
                <c:pt idx="22">
                  <c:v>62.3470740533589</c:v>
                </c:pt>
                <c:pt idx="23">
                  <c:v>62.6952161403798</c:v>
                </c:pt>
                <c:pt idx="24">
                  <c:v>63.0691770617425</c:v>
                </c:pt>
                <c:pt idx="25">
                  <c:v>63.4090161751628</c:v>
                </c:pt>
                <c:pt idx="26">
                  <c:v>63.7676527862967</c:v>
                </c:pt>
                <c:pt idx="27">
                  <c:v>64.1148565909705</c:v>
                </c:pt>
                <c:pt idx="28">
                  <c:v>64.4578923114876</c:v>
                </c:pt>
                <c:pt idx="29">
                  <c:v>64.7995118532823</c:v>
                </c:pt>
                <c:pt idx="30">
                  <c:v>65.1427375645259</c:v>
                </c:pt>
                <c:pt idx="31">
                  <c:v>65.4554110625173</c:v>
                </c:pt>
                <c:pt idx="32">
                  <c:v>65.81219035271999</c:v>
                </c:pt>
                <c:pt idx="33">
                  <c:v>66.1284730114623</c:v>
                </c:pt>
                <c:pt idx="34">
                  <c:v>66.42222088218639</c:v>
                </c:pt>
                <c:pt idx="35">
                  <c:v>66.74596622720129</c:v>
                </c:pt>
                <c:pt idx="36">
                  <c:v>67.071186077891</c:v>
                </c:pt>
                <c:pt idx="37">
                  <c:v>67.390889065976</c:v>
                </c:pt>
                <c:pt idx="38">
                  <c:v>67.7097971270686</c:v>
                </c:pt>
                <c:pt idx="39">
                  <c:v>68.0425975690948</c:v>
                </c:pt>
                <c:pt idx="40">
                  <c:v>68.3390496568211</c:v>
                </c:pt>
                <c:pt idx="41">
                  <c:v>68.6537836537691</c:v>
                </c:pt>
                <c:pt idx="42">
                  <c:v>68.9655570585807</c:v>
                </c:pt>
                <c:pt idx="43">
                  <c:v>69.2842685483774</c:v>
                </c:pt>
                <c:pt idx="44">
                  <c:v>69.612118825845</c:v>
                </c:pt>
                <c:pt idx="45">
                  <c:v>69.9642778376643</c:v>
                </c:pt>
                <c:pt idx="46">
                  <c:v>70.2709864704975</c:v>
                </c:pt>
                <c:pt idx="47">
                  <c:v>70.6430236030197</c:v>
                </c:pt>
                <c:pt idx="48">
                  <c:v>70.99581791912399</c:v>
                </c:pt>
                <c:pt idx="49">
                  <c:v>71.28534359575529</c:v>
                </c:pt>
                <c:pt idx="50">
                  <c:v>71.62046197641931</c:v>
                </c:pt>
                <c:pt idx="51">
                  <c:v>71.98568754066321</c:v>
                </c:pt>
                <c:pt idx="52">
                  <c:v>72.324957334188</c:v>
                </c:pt>
                <c:pt idx="53">
                  <c:v>72.6659057507815</c:v>
                </c:pt>
                <c:pt idx="54">
                  <c:v>73.029570100966</c:v>
                </c:pt>
                <c:pt idx="55">
                  <c:v>73.3570137949155</c:v>
                </c:pt>
                <c:pt idx="56">
                  <c:v>73.7223367835732</c:v>
                </c:pt>
                <c:pt idx="57">
                  <c:v>74.0562231474623</c:v>
                </c:pt>
                <c:pt idx="58">
                  <c:v>74.4017319045505</c:v>
                </c:pt>
                <c:pt idx="59">
                  <c:v>74.753992498588</c:v>
                </c:pt>
                <c:pt idx="60">
                  <c:v>75.0822995027185</c:v>
                </c:pt>
                <c:pt idx="61">
                  <c:v>75.44436298135039</c:v>
                </c:pt>
                <c:pt idx="62">
                  <c:v>75.818856160319</c:v>
                </c:pt>
                <c:pt idx="63">
                  <c:v>76.1755469822475</c:v>
                </c:pt>
                <c:pt idx="64">
                  <c:v>76.53438894510811</c:v>
                </c:pt>
                <c:pt idx="65">
                  <c:v>76.8859929673888</c:v>
                </c:pt>
                <c:pt idx="66">
                  <c:v>77.32821010702931</c:v>
                </c:pt>
                <c:pt idx="67">
                  <c:v>77.7159494531134</c:v>
                </c:pt>
                <c:pt idx="68">
                  <c:v>78.1091261669774</c:v>
                </c:pt>
                <c:pt idx="69">
                  <c:v>78.5141901172627</c:v>
                </c:pt>
                <c:pt idx="70">
                  <c:v>78.9710103129059</c:v>
                </c:pt>
                <c:pt idx="71">
                  <c:v>79.3797954852201</c:v>
                </c:pt>
                <c:pt idx="72">
                  <c:v>79.8257163844216</c:v>
                </c:pt>
                <c:pt idx="73">
                  <c:v>80.301800642598</c:v>
                </c:pt>
                <c:pt idx="74">
                  <c:v>80.7714751347246</c:v>
                </c:pt>
                <c:pt idx="75">
                  <c:v>81.2050006224564</c:v>
                </c:pt>
                <c:pt idx="76">
                  <c:v>81.7417560692739</c:v>
                </c:pt>
                <c:pt idx="77">
                  <c:v>82.2101707509522</c:v>
                </c:pt>
                <c:pt idx="78">
                  <c:v>82.7184368830265</c:v>
                </c:pt>
                <c:pt idx="79">
                  <c:v>83.29636266515369</c:v>
                </c:pt>
                <c:pt idx="80">
                  <c:v>83.84252902720991</c:v>
                </c:pt>
                <c:pt idx="81">
                  <c:v>84.4906983882822</c:v>
                </c:pt>
                <c:pt idx="82">
                  <c:v>85.0768175637109</c:v>
                </c:pt>
                <c:pt idx="83">
                  <c:v>85.682462216697</c:v>
                </c:pt>
                <c:pt idx="84">
                  <c:v>86.4142423186974</c:v>
                </c:pt>
                <c:pt idx="85">
                  <c:v>87.2431401443494</c:v>
                </c:pt>
                <c:pt idx="86">
                  <c:v>87.9387420282755</c:v>
                </c:pt>
                <c:pt idx="87">
                  <c:v>88.8239390616022</c:v>
                </c:pt>
                <c:pt idx="88">
                  <c:v>89.7082726362967</c:v>
                </c:pt>
                <c:pt idx="89">
                  <c:v>90.6864339030425</c:v>
                </c:pt>
                <c:pt idx="90">
                  <c:v>91.6888578181821</c:v>
                </c:pt>
                <c:pt idx="91">
                  <c:v>92.86686013621249</c:v>
                </c:pt>
                <c:pt idx="92">
                  <c:v>94.2295638586772</c:v>
                </c:pt>
                <c:pt idx="93">
                  <c:v>95.5910509750136</c:v>
                </c:pt>
                <c:pt idx="94">
                  <c:v>97.2758028141206</c:v>
                </c:pt>
                <c:pt idx="95">
                  <c:v>99.24186822801509</c:v>
                </c:pt>
                <c:pt idx="96">
                  <c:v>102.03525909241</c:v>
                </c:pt>
                <c:pt idx="97">
                  <c:v>106.018896780738</c:v>
                </c:pt>
                <c:pt idx="98">
                  <c:v>111.46022431009</c:v>
                </c:pt>
              </c:numCache>
            </c:numRef>
          </c:yVal>
        </c:ser>
        <c:ser>
          <c:idx val="1"/>
          <c:order val="1"/>
          <c:tx>
            <c:v>Swap</c:v>
          </c:tx>
          <c:spPr>
            <a:ln w="28575">
              <a:solidFill>
                <a:srgbClr val="2A78D6"/>
              </a:solidFill>
              <a:prstDash val="solid"/>
            </a:ln>
          </c:spPr>
          <c:marker>
            <c:symbol val="none"/>
          </c:marker>
          <c:xVal>
            <c:numRef>
              <c:f>Distribution!$A$3:$A$101</c:f>
              <c:numCache>
                <c:formatCode>General</c:formatCode>
                <c:ptCount val="99"/>
                <c:pt idx="0">
                  <c:v>0.01</c:v>
                </c:pt>
                <c:pt idx="1">
                  <c:v>0.02</c:v>
                </c:pt>
                <c:pt idx="2">
                  <c:v>0.03</c:v>
                </c:pt>
                <c:pt idx="3">
                  <c:v>0.04</c:v>
                </c:pt>
                <c:pt idx="4">
                  <c:v>0.05</c:v>
                </c:pt>
                <c:pt idx="5">
                  <c:v>0.06</c:v>
                </c:pt>
                <c:pt idx="6">
                  <c:v>0.07000000000000001</c:v>
                </c:pt>
                <c:pt idx="7">
                  <c:v>0.08</c:v>
                </c:pt>
                <c:pt idx="8">
                  <c:v>0.09</c:v>
                </c:pt>
                <c:pt idx="9">
                  <c:v>0.1</c:v>
                </c:pt>
                <c:pt idx="10">
                  <c:v>0.11</c:v>
                </c:pt>
                <c:pt idx="11">
                  <c:v>0.12</c:v>
                </c:pt>
                <c:pt idx="12">
                  <c:v>0.13</c:v>
                </c:pt>
                <c:pt idx="13">
                  <c:v>0.14</c:v>
                </c:pt>
                <c:pt idx="14">
                  <c:v>0.15</c:v>
                </c:pt>
                <c:pt idx="15">
                  <c:v>0.16</c:v>
                </c:pt>
                <c:pt idx="16">
                  <c:v>0.17</c:v>
                </c:pt>
                <c:pt idx="17">
                  <c:v>0.18</c:v>
                </c:pt>
                <c:pt idx="18">
                  <c:v>0.19</c:v>
                </c:pt>
                <c:pt idx="19">
                  <c:v>0.2</c:v>
                </c:pt>
                <c:pt idx="20">
                  <c:v>0.21</c:v>
                </c:pt>
                <c:pt idx="21">
                  <c:v>0.22</c:v>
                </c:pt>
                <c:pt idx="22">
                  <c:v>0.23</c:v>
                </c:pt>
                <c:pt idx="23">
                  <c:v>0.24</c:v>
                </c:pt>
                <c:pt idx="24">
                  <c:v>0.25</c:v>
                </c:pt>
                <c:pt idx="25">
                  <c:v>0.26</c:v>
                </c:pt>
                <c:pt idx="26">
                  <c:v>0.27</c:v>
                </c:pt>
                <c:pt idx="27">
                  <c:v>0.28</c:v>
                </c:pt>
                <c:pt idx="28">
                  <c:v>0.29</c:v>
                </c:pt>
                <c:pt idx="29">
                  <c:v>0.3</c:v>
                </c:pt>
                <c:pt idx="30">
                  <c:v>0.31</c:v>
                </c:pt>
                <c:pt idx="31">
                  <c:v>0.32</c:v>
                </c:pt>
                <c:pt idx="32">
                  <c:v>0.33</c:v>
                </c:pt>
                <c:pt idx="33">
                  <c:v>0.34</c:v>
                </c:pt>
                <c:pt idx="34">
                  <c:v>0.35</c:v>
                </c:pt>
                <c:pt idx="35">
                  <c:v>0.36</c:v>
                </c:pt>
                <c:pt idx="36">
                  <c:v>0.37</c:v>
                </c:pt>
                <c:pt idx="37">
                  <c:v>0.38</c:v>
                </c:pt>
                <c:pt idx="38">
                  <c:v>0.39</c:v>
                </c:pt>
                <c:pt idx="39">
                  <c:v>0.4</c:v>
                </c:pt>
                <c:pt idx="40">
                  <c:v>0.41</c:v>
                </c:pt>
                <c:pt idx="41">
                  <c:v>0.42</c:v>
                </c:pt>
                <c:pt idx="42">
                  <c:v>0.43</c:v>
                </c:pt>
                <c:pt idx="43">
                  <c:v>0.44</c:v>
                </c:pt>
                <c:pt idx="44">
                  <c:v>0.45</c:v>
                </c:pt>
                <c:pt idx="45">
                  <c:v>0.46</c:v>
                </c:pt>
                <c:pt idx="46">
                  <c:v>0.47</c:v>
                </c:pt>
                <c:pt idx="47">
                  <c:v>0.48</c:v>
                </c:pt>
                <c:pt idx="48">
                  <c:v>0.49</c:v>
                </c:pt>
                <c:pt idx="49">
                  <c:v>0.5</c:v>
                </c:pt>
                <c:pt idx="50">
                  <c:v>0.51</c:v>
                </c:pt>
                <c:pt idx="51">
                  <c:v>0.52</c:v>
                </c:pt>
                <c:pt idx="52">
                  <c:v>0.53</c:v>
                </c:pt>
                <c:pt idx="53">
                  <c:v>0.54</c:v>
                </c:pt>
                <c:pt idx="54">
                  <c:v>0.55</c:v>
                </c:pt>
                <c:pt idx="55">
                  <c:v>0.5600000000000001</c:v>
                </c:pt>
                <c:pt idx="56">
                  <c:v>0.57</c:v>
                </c:pt>
                <c:pt idx="57">
                  <c:v>0.58</c:v>
                </c:pt>
                <c:pt idx="58">
                  <c:v>0.59</c:v>
                </c:pt>
                <c:pt idx="59">
                  <c:v>0.6</c:v>
                </c:pt>
                <c:pt idx="60">
                  <c:v>0.61</c:v>
                </c:pt>
                <c:pt idx="61">
                  <c:v>0.62</c:v>
                </c:pt>
                <c:pt idx="62">
                  <c:v>0.63</c:v>
                </c:pt>
                <c:pt idx="63">
                  <c:v>0.64</c:v>
                </c:pt>
                <c:pt idx="64">
                  <c:v>0.65</c:v>
                </c:pt>
                <c:pt idx="65">
                  <c:v>0.66</c:v>
                </c:pt>
                <c:pt idx="66">
                  <c:v>0.67</c:v>
                </c:pt>
                <c:pt idx="67">
                  <c:v>0.68</c:v>
                </c:pt>
                <c:pt idx="68">
                  <c:v>0.6899999999999999</c:v>
                </c:pt>
                <c:pt idx="69">
                  <c:v>0.7</c:v>
                </c:pt>
                <c:pt idx="70">
                  <c:v>0.71</c:v>
                </c:pt>
                <c:pt idx="71">
                  <c:v>0.72</c:v>
                </c:pt>
                <c:pt idx="72">
                  <c:v>0.73</c:v>
                </c:pt>
                <c:pt idx="73">
                  <c:v>0.74</c:v>
                </c:pt>
                <c:pt idx="74">
                  <c:v>0.75</c:v>
                </c:pt>
                <c:pt idx="75">
                  <c:v>0.76</c:v>
                </c:pt>
                <c:pt idx="76">
                  <c:v>0.77</c:v>
                </c:pt>
                <c:pt idx="77">
                  <c:v>0.78</c:v>
                </c:pt>
                <c:pt idx="78">
                  <c:v>0.79</c:v>
                </c:pt>
                <c:pt idx="79">
                  <c:v>0.8</c:v>
                </c:pt>
                <c:pt idx="80">
                  <c:v>0.8100000000000001</c:v>
                </c:pt>
                <c:pt idx="81">
                  <c:v>0.82</c:v>
                </c:pt>
                <c:pt idx="82">
                  <c:v>0.83</c:v>
                </c:pt>
                <c:pt idx="83">
                  <c:v>0.84</c:v>
                </c:pt>
                <c:pt idx="84">
                  <c:v>0.85</c:v>
                </c:pt>
                <c:pt idx="85">
                  <c:v>0.86</c:v>
                </c:pt>
                <c:pt idx="86">
                  <c:v>0.87</c:v>
                </c:pt>
                <c:pt idx="87">
                  <c:v>0.88</c:v>
                </c:pt>
                <c:pt idx="88">
                  <c:v>0.89</c:v>
                </c:pt>
                <c:pt idx="89">
                  <c:v>0.9</c:v>
                </c:pt>
                <c:pt idx="90">
                  <c:v>0.91</c:v>
                </c:pt>
                <c:pt idx="91">
                  <c:v>0.92</c:v>
                </c:pt>
                <c:pt idx="92">
                  <c:v>0.93</c:v>
                </c:pt>
                <c:pt idx="93">
                  <c:v>0.9399999999999999</c:v>
                </c:pt>
                <c:pt idx="94">
                  <c:v>0.95</c:v>
                </c:pt>
                <c:pt idx="95">
                  <c:v>0.96</c:v>
                </c:pt>
                <c:pt idx="96">
                  <c:v>0.97</c:v>
                </c:pt>
                <c:pt idx="97">
                  <c:v>0.98</c:v>
                </c:pt>
                <c:pt idx="98">
                  <c:v>0.99</c:v>
                </c:pt>
              </c:numCache>
            </c:numRef>
          </c:xVal>
          <c:yVal>
            <c:numRef>
              <c:f>Distribution!$C$3:$C$101</c:f>
              <c:numCache>
                <c:formatCode>General</c:formatCode>
                <c:ptCount val="99"/>
                <c:pt idx="0">
                  <c:v>72.6958333333333</c:v>
                </c:pt>
                <c:pt idx="1">
                  <c:v>72.6958333333333</c:v>
                </c:pt>
                <c:pt idx="2">
                  <c:v>72.6958333333333</c:v>
                </c:pt>
                <c:pt idx="3">
                  <c:v>72.6958333333333</c:v>
                </c:pt>
                <c:pt idx="4">
                  <c:v>72.6958333333333</c:v>
                </c:pt>
                <c:pt idx="5">
                  <c:v>72.6958333333333</c:v>
                </c:pt>
                <c:pt idx="6">
                  <c:v>72.6958333333333</c:v>
                </c:pt>
                <c:pt idx="7">
                  <c:v>72.6958333333333</c:v>
                </c:pt>
                <c:pt idx="8">
                  <c:v>72.6958333333333</c:v>
                </c:pt>
                <c:pt idx="9">
                  <c:v>72.6958333333333</c:v>
                </c:pt>
                <c:pt idx="10">
                  <c:v>72.6958333333333</c:v>
                </c:pt>
                <c:pt idx="11">
                  <c:v>72.6958333333333</c:v>
                </c:pt>
                <c:pt idx="12">
                  <c:v>72.6958333333333</c:v>
                </c:pt>
                <c:pt idx="13">
                  <c:v>72.6958333333333</c:v>
                </c:pt>
                <c:pt idx="14">
                  <c:v>72.6958333333333</c:v>
                </c:pt>
                <c:pt idx="15">
                  <c:v>72.6958333333333</c:v>
                </c:pt>
                <c:pt idx="16">
                  <c:v>72.6958333333333</c:v>
                </c:pt>
                <c:pt idx="17">
                  <c:v>72.6958333333333</c:v>
                </c:pt>
                <c:pt idx="18">
                  <c:v>72.6958333333333</c:v>
                </c:pt>
                <c:pt idx="19">
                  <c:v>72.6958333333333</c:v>
                </c:pt>
                <c:pt idx="20">
                  <c:v>72.6958333333333</c:v>
                </c:pt>
                <c:pt idx="21">
                  <c:v>72.6958333333333</c:v>
                </c:pt>
                <c:pt idx="22">
                  <c:v>72.6958333333333</c:v>
                </c:pt>
                <c:pt idx="23">
                  <c:v>72.6958333333333</c:v>
                </c:pt>
                <c:pt idx="24">
                  <c:v>72.6958333333333</c:v>
                </c:pt>
                <c:pt idx="25">
                  <c:v>72.6958333333333</c:v>
                </c:pt>
                <c:pt idx="26">
                  <c:v>72.6958333333333</c:v>
                </c:pt>
                <c:pt idx="27">
                  <c:v>72.6958333333333</c:v>
                </c:pt>
                <c:pt idx="28">
                  <c:v>72.6958333333333</c:v>
                </c:pt>
                <c:pt idx="29">
                  <c:v>72.6958333333333</c:v>
                </c:pt>
                <c:pt idx="30">
                  <c:v>72.6958333333333</c:v>
                </c:pt>
                <c:pt idx="31">
                  <c:v>72.6958333333333</c:v>
                </c:pt>
                <c:pt idx="32">
                  <c:v>72.6958333333333</c:v>
                </c:pt>
                <c:pt idx="33">
                  <c:v>72.6958333333333</c:v>
                </c:pt>
                <c:pt idx="34">
                  <c:v>72.6958333333333</c:v>
                </c:pt>
                <c:pt idx="35">
                  <c:v>72.6958333333333</c:v>
                </c:pt>
                <c:pt idx="36">
                  <c:v>72.6958333333333</c:v>
                </c:pt>
                <c:pt idx="37">
                  <c:v>72.6958333333333</c:v>
                </c:pt>
                <c:pt idx="38">
                  <c:v>72.6958333333333</c:v>
                </c:pt>
                <c:pt idx="39">
                  <c:v>72.6958333333333</c:v>
                </c:pt>
                <c:pt idx="40">
                  <c:v>72.6958333333333</c:v>
                </c:pt>
                <c:pt idx="41">
                  <c:v>72.6958333333333</c:v>
                </c:pt>
                <c:pt idx="42">
                  <c:v>72.6958333333333</c:v>
                </c:pt>
                <c:pt idx="43">
                  <c:v>72.6958333333333</c:v>
                </c:pt>
                <c:pt idx="44">
                  <c:v>72.6958333333333</c:v>
                </c:pt>
                <c:pt idx="45">
                  <c:v>72.6958333333333</c:v>
                </c:pt>
                <c:pt idx="46">
                  <c:v>72.6958333333333</c:v>
                </c:pt>
                <c:pt idx="47">
                  <c:v>72.6958333333333</c:v>
                </c:pt>
                <c:pt idx="48">
                  <c:v>72.6958333333333</c:v>
                </c:pt>
                <c:pt idx="49">
                  <c:v>72.6958333333333</c:v>
                </c:pt>
                <c:pt idx="50">
                  <c:v>72.6958333333333</c:v>
                </c:pt>
                <c:pt idx="51">
                  <c:v>72.6958333333333</c:v>
                </c:pt>
                <c:pt idx="52">
                  <c:v>72.6958333333333</c:v>
                </c:pt>
                <c:pt idx="53">
                  <c:v>72.6958333333333</c:v>
                </c:pt>
                <c:pt idx="54">
                  <c:v>72.6958333333333</c:v>
                </c:pt>
                <c:pt idx="55">
                  <c:v>72.6958333333333</c:v>
                </c:pt>
                <c:pt idx="56">
                  <c:v>72.6958333333333</c:v>
                </c:pt>
                <c:pt idx="57">
                  <c:v>72.6958333333333</c:v>
                </c:pt>
                <c:pt idx="58">
                  <c:v>72.6958333333333</c:v>
                </c:pt>
                <c:pt idx="59">
                  <c:v>72.6958333333333</c:v>
                </c:pt>
                <c:pt idx="60">
                  <c:v>72.6958333333333</c:v>
                </c:pt>
                <c:pt idx="61">
                  <c:v>72.6958333333333</c:v>
                </c:pt>
                <c:pt idx="62">
                  <c:v>72.6958333333333</c:v>
                </c:pt>
                <c:pt idx="63">
                  <c:v>72.6958333333333</c:v>
                </c:pt>
                <c:pt idx="64">
                  <c:v>72.6958333333333</c:v>
                </c:pt>
                <c:pt idx="65">
                  <c:v>72.6958333333333</c:v>
                </c:pt>
                <c:pt idx="66">
                  <c:v>72.6958333333333</c:v>
                </c:pt>
                <c:pt idx="67">
                  <c:v>72.6958333333333</c:v>
                </c:pt>
                <c:pt idx="68">
                  <c:v>72.6958333333333</c:v>
                </c:pt>
                <c:pt idx="69">
                  <c:v>72.6958333333333</c:v>
                </c:pt>
                <c:pt idx="70">
                  <c:v>72.6958333333333</c:v>
                </c:pt>
                <c:pt idx="71">
                  <c:v>72.6958333333333</c:v>
                </c:pt>
                <c:pt idx="72">
                  <c:v>72.6958333333333</c:v>
                </c:pt>
                <c:pt idx="73">
                  <c:v>72.6958333333333</c:v>
                </c:pt>
                <c:pt idx="74">
                  <c:v>72.6958333333333</c:v>
                </c:pt>
                <c:pt idx="75">
                  <c:v>72.6958333333333</c:v>
                </c:pt>
                <c:pt idx="76">
                  <c:v>72.6958333333333</c:v>
                </c:pt>
                <c:pt idx="77">
                  <c:v>72.6958333333333</c:v>
                </c:pt>
                <c:pt idx="78">
                  <c:v>72.6958333333333</c:v>
                </c:pt>
                <c:pt idx="79">
                  <c:v>72.6958333333333</c:v>
                </c:pt>
                <c:pt idx="80">
                  <c:v>72.6958333333333</c:v>
                </c:pt>
                <c:pt idx="81">
                  <c:v>72.6958333333333</c:v>
                </c:pt>
                <c:pt idx="82">
                  <c:v>72.6958333333333</c:v>
                </c:pt>
                <c:pt idx="83">
                  <c:v>72.6958333333333</c:v>
                </c:pt>
                <c:pt idx="84">
                  <c:v>72.6958333333333</c:v>
                </c:pt>
                <c:pt idx="85">
                  <c:v>72.6958333333333</c:v>
                </c:pt>
                <c:pt idx="86">
                  <c:v>72.6958333333333</c:v>
                </c:pt>
                <c:pt idx="87">
                  <c:v>72.6958333333333</c:v>
                </c:pt>
                <c:pt idx="88">
                  <c:v>72.6958333333333</c:v>
                </c:pt>
                <c:pt idx="89">
                  <c:v>72.6958333333333</c:v>
                </c:pt>
                <c:pt idx="90">
                  <c:v>72.6958333333333</c:v>
                </c:pt>
                <c:pt idx="91">
                  <c:v>72.6958333333333</c:v>
                </c:pt>
                <c:pt idx="92">
                  <c:v>72.6958333333334</c:v>
                </c:pt>
                <c:pt idx="93">
                  <c:v>72.6958333333334</c:v>
                </c:pt>
                <c:pt idx="94">
                  <c:v>72.6958333333334</c:v>
                </c:pt>
                <c:pt idx="95">
                  <c:v>72.6958333333334</c:v>
                </c:pt>
                <c:pt idx="96">
                  <c:v>72.6958333333334</c:v>
                </c:pt>
                <c:pt idx="97">
                  <c:v>72.6958333333334</c:v>
                </c:pt>
                <c:pt idx="98">
                  <c:v>72.6958333333334</c:v>
                </c:pt>
              </c:numCache>
            </c:numRef>
          </c:yVal>
        </c:ser>
        <c:ser>
          <c:idx val="2"/>
          <c:order val="2"/>
          <c:tx>
            <c:v>Call (cap)</c:v>
          </c:tx>
          <c:spPr>
            <a:ln w="28575">
              <a:solidFill>
                <a:srgbClr val="EB6834"/>
              </a:solidFill>
              <a:prstDash val="solid"/>
            </a:ln>
          </c:spPr>
          <c:marker>
            <c:symbol val="none"/>
          </c:marker>
          <c:xVal>
            <c:numRef>
              <c:f>Distribution!$A$3:$A$101</c:f>
              <c:numCache>
                <c:formatCode>General</c:formatCode>
                <c:ptCount val="99"/>
                <c:pt idx="0">
                  <c:v>0.01</c:v>
                </c:pt>
                <c:pt idx="1">
                  <c:v>0.02</c:v>
                </c:pt>
                <c:pt idx="2">
                  <c:v>0.03</c:v>
                </c:pt>
                <c:pt idx="3">
                  <c:v>0.04</c:v>
                </c:pt>
                <c:pt idx="4">
                  <c:v>0.05</c:v>
                </c:pt>
                <c:pt idx="5">
                  <c:v>0.06</c:v>
                </c:pt>
                <c:pt idx="6">
                  <c:v>0.07000000000000001</c:v>
                </c:pt>
                <c:pt idx="7">
                  <c:v>0.08</c:v>
                </c:pt>
                <c:pt idx="8">
                  <c:v>0.09</c:v>
                </c:pt>
                <c:pt idx="9">
                  <c:v>0.1</c:v>
                </c:pt>
                <c:pt idx="10">
                  <c:v>0.11</c:v>
                </c:pt>
                <c:pt idx="11">
                  <c:v>0.12</c:v>
                </c:pt>
                <c:pt idx="12">
                  <c:v>0.13</c:v>
                </c:pt>
                <c:pt idx="13">
                  <c:v>0.14</c:v>
                </c:pt>
                <c:pt idx="14">
                  <c:v>0.15</c:v>
                </c:pt>
                <c:pt idx="15">
                  <c:v>0.16</c:v>
                </c:pt>
                <c:pt idx="16">
                  <c:v>0.17</c:v>
                </c:pt>
                <c:pt idx="17">
                  <c:v>0.18</c:v>
                </c:pt>
                <c:pt idx="18">
                  <c:v>0.19</c:v>
                </c:pt>
                <c:pt idx="19">
                  <c:v>0.2</c:v>
                </c:pt>
                <c:pt idx="20">
                  <c:v>0.21</c:v>
                </c:pt>
                <c:pt idx="21">
                  <c:v>0.22</c:v>
                </c:pt>
                <c:pt idx="22">
                  <c:v>0.23</c:v>
                </c:pt>
                <c:pt idx="23">
                  <c:v>0.24</c:v>
                </c:pt>
                <c:pt idx="24">
                  <c:v>0.25</c:v>
                </c:pt>
                <c:pt idx="25">
                  <c:v>0.26</c:v>
                </c:pt>
                <c:pt idx="26">
                  <c:v>0.27</c:v>
                </c:pt>
                <c:pt idx="27">
                  <c:v>0.28</c:v>
                </c:pt>
                <c:pt idx="28">
                  <c:v>0.29</c:v>
                </c:pt>
                <c:pt idx="29">
                  <c:v>0.3</c:v>
                </c:pt>
                <c:pt idx="30">
                  <c:v>0.31</c:v>
                </c:pt>
                <c:pt idx="31">
                  <c:v>0.32</c:v>
                </c:pt>
                <c:pt idx="32">
                  <c:v>0.33</c:v>
                </c:pt>
                <c:pt idx="33">
                  <c:v>0.34</c:v>
                </c:pt>
                <c:pt idx="34">
                  <c:v>0.35</c:v>
                </c:pt>
                <c:pt idx="35">
                  <c:v>0.36</c:v>
                </c:pt>
                <c:pt idx="36">
                  <c:v>0.37</c:v>
                </c:pt>
                <c:pt idx="37">
                  <c:v>0.38</c:v>
                </c:pt>
                <c:pt idx="38">
                  <c:v>0.39</c:v>
                </c:pt>
                <c:pt idx="39">
                  <c:v>0.4</c:v>
                </c:pt>
                <c:pt idx="40">
                  <c:v>0.41</c:v>
                </c:pt>
                <c:pt idx="41">
                  <c:v>0.42</c:v>
                </c:pt>
                <c:pt idx="42">
                  <c:v>0.43</c:v>
                </c:pt>
                <c:pt idx="43">
                  <c:v>0.44</c:v>
                </c:pt>
                <c:pt idx="44">
                  <c:v>0.45</c:v>
                </c:pt>
                <c:pt idx="45">
                  <c:v>0.46</c:v>
                </c:pt>
                <c:pt idx="46">
                  <c:v>0.47</c:v>
                </c:pt>
                <c:pt idx="47">
                  <c:v>0.48</c:v>
                </c:pt>
                <c:pt idx="48">
                  <c:v>0.49</c:v>
                </c:pt>
                <c:pt idx="49">
                  <c:v>0.5</c:v>
                </c:pt>
                <c:pt idx="50">
                  <c:v>0.51</c:v>
                </c:pt>
                <c:pt idx="51">
                  <c:v>0.52</c:v>
                </c:pt>
                <c:pt idx="52">
                  <c:v>0.53</c:v>
                </c:pt>
                <c:pt idx="53">
                  <c:v>0.54</c:v>
                </c:pt>
                <c:pt idx="54">
                  <c:v>0.55</c:v>
                </c:pt>
                <c:pt idx="55">
                  <c:v>0.5600000000000001</c:v>
                </c:pt>
                <c:pt idx="56">
                  <c:v>0.57</c:v>
                </c:pt>
                <c:pt idx="57">
                  <c:v>0.58</c:v>
                </c:pt>
                <c:pt idx="58">
                  <c:v>0.59</c:v>
                </c:pt>
                <c:pt idx="59">
                  <c:v>0.6</c:v>
                </c:pt>
                <c:pt idx="60">
                  <c:v>0.61</c:v>
                </c:pt>
                <c:pt idx="61">
                  <c:v>0.62</c:v>
                </c:pt>
                <c:pt idx="62">
                  <c:v>0.63</c:v>
                </c:pt>
                <c:pt idx="63">
                  <c:v>0.64</c:v>
                </c:pt>
                <c:pt idx="64">
                  <c:v>0.65</c:v>
                </c:pt>
                <c:pt idx="65">
                  <c:v>0.66</c:v>
                </c:pt>
                <c:pt idx="66">
                  <c:v>0.67</c:v>
                </c:pt>
                <c:pt idx="67">
                  <c:v>0.68</c:v>
                </c:pt>
                <c:pt idx="68">
                  <c:v>0.6899999999999999</c:v>
                </c:pt>
                <c:pt idx="69">
                  <c:v>0.7</c:v>
                </c:pt>
                <c:pt idx="70">
                  <c:v>0.71</c:v>
                </c:pt>
                <c:pt idx="71">
                  <c:v>0.72</c:v>
                </c:pt>
                <c:pt idx="72">
                  <c:v>0.73</c:v>
                </c:pt>
                <c:pt idx="73">
                  <c:v>0.74</c:v>
                </c:pt>
                <c:pt idx="74">
                  <c:v>0.75</c:v>
                </c:pt>
                <c:pt idx="75">
                  <c:v>0.76</c:v>
                </c:pt>
                <c:pt idx="76">
                  <c:v>0.77</c:v>
                </c:pt>
                <c:pt idx="77">
                  <c:v>0.78</c:v>
                </c:pt>
                <c:pt idx="78">
                  <c:v>0.79</c:v>
                </c:pt>
                <c:pt idx="79">
                  <c:v>0.8</c:v>
                </c:pt>
                <c:pt idx="80">
                  <c:v>0.8100000000000001</c:v>
                </c:pt>
                <c:pt idx="81">
                  <c:v>0.82</c:v>
                </c:pt>
                <c:pt idx="82">
                  <c:v>0.83</c:v>
                </c:pt>
                <c:pt idx="83">
                  <c:v>0.84</c:v>
                </c:pt>
                <c:pt idx="84">
                  <c:v>0.85</c:v>
                </c:pt>
                <c:pt idx="85">
                  <c:v>0.86</c:v>
                </c:pt>
                <c:pt idx="86">
                  <c:v>0.87</c:v>
                </c:pt>
                <c:pt idx="87">
                  <c:v>0.88</c:v>
                </c:pt>
                <c:pt idx="88">
                  <c:v>0.89</c:v>
                </c:pt>
                <c:pt idx="89">
                  <c:v>0.9</c:v>
                </c:pt>
                <c:pt idx="90">
                  <c:v>0.91</c:v>
                </c:pt>
                <c:pt idx="91">
                  <c:v>0.92</c:v>
                </c:pt>
                <c:pt idx="92">
                  <c:v>0.93</c:v>
                </c:pt>
                <c:pt idx="93">
                  <c:v>0.9399999999999999</c:v>
                </c:pt>
                <c:pt idx="94">
                  <c:v>0.95</c:v>
                </c:pt>
                <c:pt idx="95">
                  <c:v>0.96</c:v>
                </c:pt>
                <c:pt idx="96">
                  <c:v>0.97</c:v>
                </c:pt>
                <c:pt idx="97">
                  <c:v>0.98</c:v>
                </c:pt>
                <c:pt idx="98">
                  <c:v>0.99</c:v>
                </c:pt>
              </c:numCache>
            </c:numRef>
          </c:xVal>
          <c:yVal>
            <c:numRef>
              <c:f>Distribution!$D$3:$D$101</c:f>
              <c:numCache>
                <c:formatCode>General</c:formatCode>
                <c:ptCount val="99"/>
                <c:pt idx="0">
                  <c:v>51.6828747264339</c:v>
                </c:pt>
                <c:pt idx="1">
                  <c:v>53.9845985389117</c:v>
                </c:pt>
                <c:pt idx="2">
                  <c:v>55.6755632997302</c:v>
                </c:pt>
                <c:pt idx="3">
                  <c:v>56.9992208252689</c:v>
                </c:pt>
                <c:pt idx="4">
                  <c:v>57.8593275645506</c:v>
                </c:pt>
                <c:pt idx="5">
                  <c:v>58.6730920447627</c:v>
                </c:pt>
                <c:pt idx="6">
                  <c:v>59.4987807349505</c:v>
                </c:pt>
                <c:pt idx="7">
                  <c:v>60.2495847412926</c:v>
                </c:pt>
                <c:pt idx="8">
                  <c:v>60.9015520182323</c:v>
                </c:pt>
                <c:pt idx="9">
                  <c:v>61.4618828789011</c:v>
                </c:pt>
                <c:pt idx="10">
                  <c:v>62.0311014526601</c:v>
                </c:pt>
                <c:pt idx="11">
                  <c:v>62.5546758095247</c:v>
                </c:pt>
                <c:pt idx="12">
                  <c:v>63.0939955250455</c:v>
                </c:pt>
                <c:pt idx="13">
                  <c:v>63.5778700890706</c:v>
                </c:pt>
                <c:pt idx="14">
                  <c:v>64.0611714603918</c:v>
                </c:pt>
                <c:pt idx="15">
                  <c:v>64.5087016428058</c:v>
                </c:pt>
                <c:pt idx="16">
                  <c:v>64.9461892485612</c:v>
                </c:pt>
                <c:pt idx="17">
                  <c:v>65.32334854630329</c:v>
                </c:pt>
                <c:pt idx="18">
                  <c:v>65.7051360374539</c:v>
                </c:pt>
                <c:pt idx="19">
                  <c:v>66.10883500385469</c:v>
                </c:pt>
                <c:pt idx="20">
                  <c:v>66.498607220884</c:v>
                </c:pt>
                <c:pt idx="21">
                  <c:v>66.8547901178373</c:v>
                </c:pt>
                <c:pt idx="22">
                  <c:v>67.2193727472512</c:v>
                </c:pt>
                <c:pt idx="23">
                  <c:v>67.5670104388126</c:v>
                </c:pt>
                <c:pt idx="24">
                  <c:v>67.9023229183875</c:v>
                </c:pt>
                <c:pt idx="25">
                  <c:v>68.2480103708638</c:v>
                </c:pt>
                <c:pt idx="26">
                  <c:v>68.5659601456013</c:v>
                </c:pt>
                <c:pt idx="27">
                  <c:v>68.88405894220971</c:v>
                </c:pt>
                <c:pt idx="28">
                  <c:v>69.2016845270452</c:v>
                </c:pt>
                <c:pt idx="29">
                  <c:v>69.5306267420705</c:v>
                </c:pt>
                <c:pt idx="30">
                  <c:v>69.845559213249</c:v>
                </c:pt>
                <c:pt idx="31">
                  <c:v>70.1396839689869</c:v>
                </c:pt>
                <c:pt idx="32">
                  <c:v>70.43464299933061</c:v>
                </c:pt>
                <c:pt idx="33">
                  <c:v>70.75433914380289</c:v>
                </c:pt>
                <c:pt idx="34">
                  <c:v>71.02476234545929</c:v>
                </c:pt>
                <c:pt idx="35">
                  <c:v>71.31664879021569</c:v>
                </c:pt>
                <c:pt idx="36">
                  <c:v>71.6098281190154</c:v>
                </c:pt>
                <c:pt idx="37">
                  <c:v>71.87094066091051</c:v>
                </c:pt>
                <c:pt idx="38">
                  <c:v>72.14148205198001</c:v>
                </c:pt>
                <c:pt idx="39">
                  <c:v>72.3996141821188</c:v>
                </c:pt>
                <c:pt idx="40">
                  <c:v>72.67728631832161</c:v>
                </c:pt>
                <c:pt idx="41">
                  <c:v>72.9291021260528</c:v>
                </c:pt>
                <c:pt idx="42">
                  <c:v>73.1864419749611</c:v>
                </c:pt>
                <c:pt idx="43">
                  <c:v>73.467431264732</c:v>
                </c:pt>
                <c:pt idx="44">
                  <c:v>73.74101217032511</c:v>
                </c:pt>
                <c:pt idx="45">
                  <c:v>73.9639828166802</c:v>
                </c:pt>
                <c:pt idx="46">
                  <c:v>74.2156333041017</c:v>
                </c:pt>
                <c:pt idx="47">
                  <c:v>74.48240591086859</c:v>
                </c:pt>
                <c:pt idx="48">
                  <c:v>74.73736713640319</c:v>
                </c:pt>
                <c:pt idx="49">
                  <c:v>74.97837087219089</c:v>
                </c:pt>
                <c:pt idx="50">
                  <c:v>75.1937440771385</c:v>
                </c:pt>
                <c:pt idx="51">
                  <c:v>75.4175249779673</c:v>
                </c:pt>
                <c:pt idx="52">
                  <c:v>75.6322960905227</c:v>
                </c:pt>
                <c:pt idx="53">
                  <c:v>75.8400309354989</c:v>
                </c:pt>
                <c:pt idx="54">
                  <c:v>76.0403092984395</c:v>
                </c:pt>
                <c:pt idx="55">
                  <c:v>76.3003463703471</c:v>
                </c:pt>
                <c:pt idx="56">
                  <c:v>76.5095045656105</c:v>
                </c:pt>
                <c:pt idx="57">
                  <c:v>76.72616900710059</c:v>
                </c:pt>
                <c:pt idx="58">
                  <c:v>76.9217492814835</c:v>
                </c:pt>
                <c:pt idx="59">
                  <c:v>77.1203819454587</c:v>
                </c:pt>
                <c:pt idx="60">
                  <c:v>77.31897103047839</c:v>
                </c:pt>
                <c:pt idx="61">
                  <c:v>77.5120378931946</c:v>
                </c:pt>
                <c:pt idx="62">
                  <c:v>77.67753587700101</c:v>
                </c:pt>
                <c:pt idx="63">
                  <c:v>77.83980806001119</c:v>
                </c:pt>
                <c:pt idx="64">
                  <c:v>77.982947880154</c:v>
                </c:pt>
                <c:pt idx="65">
                  <c:v>78.1410671281526</c:v>
                </c:pt>
                <c:pt idx="66">
                  <c:v>78.30398464934009</c:v>
                </c:pt>
                <c:pt idx="67">
                  <c:v>78.4333046379552</c:v>
                </c:pt>
                <c:pt idx="68">
                  <c:v>78.5859427588578</c:v>
                </c:pt>
                <c:pt idx="69">
                  <c:v>78.7151849428988</c:v>
                </c:pt>
                <c:pt idx="70">
                  <c:v>78.8461902010956</c:v>
                </c:pt>
                <c:pt idx="71">
                  <c:v>78.9749010066659</c:v>
                </c:pt>
                <c:pt idx="72">
                  <c:v>79.0801590174413</c:v>
                </c:pt>
                <c:pt idx="73">
                  <c:v>79.18694744395</c:v>
                </c:pt>
                <c:pt idx="74">
                  <c:v>79.2943986506078</c:v>
                </c:pt>
                <c:pt idx="75">
                  <c:v>79.38461059775059</c:v>
                </c:pt>
                <c:pt idx="76">
                  <c:v>79.47437447301679</c:v>
                </c:pt>
                <c:pt idx="77">
                  <c:v>79.56162106527449</c:v>
                </c:pt>
                <c:pt idx="78">
                  <c:v>79.6343686132238</c:v>
                </c:pt>
                <c:pt idx="79">
                  <c:v>79.70335148106039</c:v>
                </c:pt>
                <c:pt idx="80">
                  <c:v>79.76387737017011</c:v>
                </c:pt>
                <c:pt idx="81">
                  <c:v>79.81920022862219</c:v>
                </c:pt>
                <c:pt idx="82">
                  <c:v>79.8783100651905</c:v>
                </c:pt>
                <c:pt idx="83">
                  <c:v>79.9337937495615</c:v>
                </c:pt>
                <c:pt idx="84">
                  <c:v>79.9845354367702</c:v>
                </c:pt>
                <c:pt idx="85">
                  <c:v>80.0376296331422</c:v>
                </c:pt>
                <c:pt idx="86">
                  <c:v>80.084096706035</c:v>
                </c:pt>
                <c:pt idx="87">
                  <c:v>80.117499618506</c:v>
                </c:pt>
                <c:pt idx="88">
                  <c:v>80.117499618506</c:v>
                </c:pt>
                <c:pt idx="89">
                  <c:v>80.117499618506</c:v>
                </c:pt>
                <c:pt idx="90">
                  <c:v>80.117499618506</c:v>
                </c:pt>
                <c:pt idx="91">
                  <c:v>80.117499618506</c:v>
                </c:pt>
                <c:pt idx="92">
                  <c:v>80.117499618506</c:v>
                </c:pt>
                <c:pt idx="93">
                  <c:v>80.117499618506</c:v>
                </c:pt>
                <c:pt idx="94">
                  <c:v>80.117499618506</c:v>
                </c:pt>
                <c:pt idx="95">
                  <c:v>80.117499618506</c:v>
                </c:pt>
                <c:pt idx="96">
                  <c:v>80.117499618506</c:v>
                </c:pt>
                <c:pt idx="97">
                  <c:v>80.117499618506</c:v>
                </c:pt>
                <c:pt idx="98">
                  <c:v>80.117499618506</c:v>
                </c:pt>
              </c:numCache>
            </c:numRef>
          </c:yVal>
        </c:ser>
        <c:ser>
          <c:idx val="3"/>
          <c:order val="3"/>
          <c:tx>
            <c:v>Zero-cost collar</c:v>
          </c:tx>
          <c:spPr>
            <a:ln w="28575">
              <a:solidFill>
                <a:srgbClr val="1BAF7A"/>
              </a:solidFill>
              <a:prstDash val="solid"/>
            </a:ln>
          </c:spPr>
          <c:marker>
            <c:symbol val="none"/>
          </c:marker>
          <c:xVal>
            <c:numRef>
              <c:f>Distribution!$A$3:$A$101</c:f>
              <c:numCache>
                <c:formatCode>General</c:formatCode>
                <c:ptCount val="99"/>
                <c:pt idx="0">
                  <c:v>0.01</c:v>
                </c:pt>
                <c:pt idx="1">
                  <c:v>0.02</c:v>
                </c:pt>
                <c:pt idx="2">
                  <c:v>0.03</c:v>
                </c:pt>
                <c:pt idx="3">
                  <c:v>0.04</c:v>
                </c:pt>
                <c:pt idx="4">
                  <c:v>0.05</c:v>
                </c:pt>
                <c:pt idx="5">
                  <c:v>0.06</c:v>
                </c:pt>
                <c:pt idx="6">
                  <c:v>0.07000000000000001</c:v>
                </c:pt>
                <c:pt idx="7">
                  <c:v>0.08</c:v>
                </c:pt>
                <c:pt idx="8">
                  <c:v>0.09</c:v>
                </c:pt>
                <c:pt idx="9">
                  <c:v>0.1</c:v>
                </c:pt>
                <c:pt idx="10">
                  <c:v>0.11</c:v>
                </c:pt>
                <c:pt idx="11">
                  <c:v>0.12</c:v>
                </c:pt>
                <c:pt idx="12">
                  <c:v>0.13</c:v>
                </c:pt>
                <c:pt idx="13">
                  <c:v>0.14</c:v>
                </c:pt>
                <c:pt idx="14">
                  <c:v>0.15</c:v>
                </c:pt>
                <c:pt idx="15">
                  <c:v>0.16</c:v>
                </c:pt>
                <c:pt idx="16">
                  <c:v>0.17</c:v>
                </c:pt>
                <c:pt idx="17">
                  <c:v>0.18</c:v>
                </c:pt>
                <c:pt idx="18">
                  <c:v>0.19</c:v>
                </c:pt>
                <c:pt idx="19">
                  <c:v>0.2</c:v>
                </c:pt>
                <c:pt idx="20">
                  <c:v>0.21</c:v>
                </c:pt>
                <c:pt idx="21">
                  <c:v>0.22</c:v>
                </c:pt>
                <c:pt idx="22">
                  <c:v>0.23</c:v>
                </c:pt>
                <c:pt idx="23">
                  <c:v>0.24</c:v>
                </c:pt>
                <c:pt idx="24">
                  <c:v>0.25</c:v>
                </c:pt>
                <c:pt idx="25">
                  <c:v>0.26</c:v>
                </c:pt>
                <c:pt idx="26">
                  <c:v>0.27</c:v>
                </c:pt>
                <c:pt idx="27">
                  <c:v>0.28</c:v>
                </c:pt>
                <c:pt idx="28">
                  <c:v>0.29</c:v>
                </c:pt>
                <c:pt idx="29">
                  <c:v>0.3</c:v>
                </c:pt>
                <c:pt idx="30">
                  <c:v>0.31</c:v>
                </c:pt>
                <c:pt idx="31">
                  <c:v>0.32</c:v>
                </c:pt>
                <c:pt idx="32">
                  <c:v>0.33</c:v>
                </c:pt>
                <c:pt idx="33">
                  <c:v>0.34</c:v>
                </c:pt>
                <c:pt idx="34">
                  <c:v>0.35</c:v>
                </c:pt>
                <c:pt idx="35">
                  <c:v>0.36</c:v>
                </c:pt>
                <c:pt idx="36">
                  <c:v>0.37</c:v>
                </c:pt>
                <c:pt idx="37">
                  <c:v>0.38</c:v>
                </c:pt>
                <c:pt idx="38">
                  <c:v>0.39</c:v>
                </c:pt>
                <c:pt idx="39">
                  <c:v>0.4</c:v>
                </c:pt>
                <c:pt idx="40">
                  <c:v>0.41</c:v>
                </c:pt>
                <c:pt idx="41">
                  <c:v>0.42</c:v>
                </c:pt>
                <c:pt idx="42">
                  <c:v>0.43</c:v>
                </c:pt>
                <c:pt idx="43">
                  <c:v>0.44</c:v>
                </c:pt>
                <c:pt idx="44">
                  <c:v>0.45</c:v>
                </c:pt>
                <c:pt idx="45">
                  <c:v>0.46</c:v>
                </c:pt>
                <c:pt idx="46">
                  <c:v>0.47</c:v>
                </c:pt>
                <c:pt idx="47">
                  <c:v>0.48</c:v>
                </c:pt>
                <c:pt idx="48">
                  <c:v>0.49</c:v>
                </c:pt>
                <c:pt idx="49">
                  <c:v>0.5</c:v>
                </c:pt>
                <c:pt idx="50">
                  <c:v>0.51</c:v>
                </c:pt>
                <c:pt idx="51">
                  <c:v>0.52</c:v>
                </c:pt>
                <c:pt idx="52">
                  <c:v>0.53</c:v>
                </c:pt>
                <c:pt idx="53">
                  <c:v>0.54</c:v>
                </c:pt>
                <c:pt idx="54">
                  <c:v>0.55</c:v>
                </c:pt>
                <c:pt idx="55">
                  <c:v>0.5600000000000001</c:v>
                </c:pt>
                <c:pt idx="56">
                  <c:v>0.57</c:v>
                </c:pt>
                <c:pt idx="57">
                  <c:v>0.58</c:v>
                </c:pt>
                <c:pt idx="58">
                  <c:v>0.59</c:v>
                </c:pt>
                <c:pt idx="59">
                  <c:v>0.6</c:v>
                </c:pt>
                <c:pt idx="60">
                  <c:v>0.61</c:v>
                </c:pt>
                <c:pt idx="61">
                  <c:v>0.62</c:v>
                </c:pt>
                <c:pt idx="62">
                  <c:v>0.63</c:v>
                </c:pt>
                <c:pt idx="63">
                  <c:v>0.64</c:v>
                </c:pt>
                <c:pt idx="64">
                  <c:v>0.65</c:v>
                </c:pt>
                <c:pt idx="65">
                  <c:v>0.66</c:v>
                </c:pt>
                <c:pt idx="66">
                  <c:v>0.67</c:v>
                </c:pt>
                <c:pt idx="67">
                  <c:v>0.68</c:v>
                </c:pt>
                <c:pt idx="68">
                  <c:v>0.6899999999999999</c:v>
                </c:pt>
                <c:pt idx="69">
                  <c:v>0.7</c:v>
                </c:pt>
                <c:pt idx="70">
                  <c:v>0.71</c:v>
                </c:pt>
                <c:pt idx="71">
                  <c:v>0.72</c:v>
                </c:pt>
                <c:pt idx="72">
                  <c:v>0.73</c:v>
                </c:pt>
                <c:pt idx="73">
                  <c:v>0.74</c:v>
                </c:pt>
                <c:pt idx="74">
                  <c:v>0.75</c:v>
                </c:pt>
                <c:pt idx="75">
                  <c:v>0.76</c:v>
                </c:pt>
                <c:pt idx="76">
                  <c:v>0.77</c:v>
                </c:pt>
                <c:pt idx="77">
                  <c:v>0.78</c:v>
                </c:pt>
                <c:pt idx="78">
                  <c:v>0.79</c:v>
                </c:pt>
                <c:pt idx="79">
                  <c:v>0.8</c:v>
                </c:pt>
                <c:pt idx="80">
                  <c:v>0.8100000000000001</c:v>
                </c:pt>
                <c:pt idx="81">
                  <c:v>0.82</c:v>
                </c:pt>
                <c:pt idx="82">
                  <c:v>0.83</c:v>
                </c:pt>
                <c:pt idx="83">
                  <c:v>0.84</c:v>
                </c:pt>
                <c:pt idx="84">
                  <c:v>0.85</c:v>
                </c:pt>
                <c:pt idx="85">
                  <c:v>0.86</c:v>
                </c:pt>
                <c:pt idx="86">
                  <c:v>0.87</c:v>
                </c:pt>
                <c:pt idx="87">
                  <c:v>0.88</c:v>
                </c:pt>
                <c:pt idx="88">
                  <c:v>0.89</c:v>
                </c:pt>
                <c:pt idx="89">
                  <c:v>0.9</c:v>
                </c:pt>
                <c:pt idx="90">
                  <c:v>0.91</c:v>
                </c:pt>
                <c:pt idx="91">
                  <c:v>0.92</c:v>
                </c:pt>
                <c:pt idx="92">
                  <c:v>0.93</c:v>
                </c:pt>
                <c:pt idx="93">
                  <c:v>0.9399999999999999</c:v>
                </c:pt>
                <c:pt idx="94">
                  <c:v>0.95</c:v>
                </c:pt>
                <c:pt idx="95">
                  <c:v>0.96</c:v>
                </c:pt>
                <c:pt idx="96">
                  <c:v>0.97</c:v>
                </c:pt>
                <c:pt idx="97">
                  <c:v>0.98</c:v>
                </c:pt>
                <c:pt idx="98">
                  <c:v>0.99</c:v>
                </c:pt>
              </c:numCache>
            </c:numRef>
          </c:xVal>
          <c:yVal>
            <c:numRef>
              <c:f>Distribution!$E$3:$E$101</c:f>
              <c:numCache>
                <c:formatCode>General</c:formatCode>
                <c:ptCount val="99"/>
                <c:pt idx="0">
                  <c:v>70.48</c:v>
                </c:pt>
                <c:pt idx="1">
                  <c:v>70.48</c:v>
                </c:pt>
                <c:pt idx="2">
                  <c:v>70.48</c:v>
                </c:pt>
                <c:pt idx="3">
                  <c:v>70.48</c:v>
                </c:pt>
                <c:pt idx="4">
                  <c:v>70.48</c:v>
                </c:pt>
                <c:pt idx="5">
                  <c:v>70.48</c:v>
                </c:pt>
                <c:pt idx="6">
                  <c:v>70.48</c:v>
                </c:pt>
                <c:pt idx="7">
                  <c:v>70.48</c:v>
                </c:pt>
                <c:pt idx="8">
                  <c:v>70.48</c:v>
                </c:pt>
                <c:pt idx="9">
                  <c:v>70.48</c:v>
                </c:pt>
                <c:pt idx="10">
                  <c:v>70.48</c:v>
                </c:pt>
                <c:pt idx="11">
                  <c:v>70.4881096695167</c:v>
                </c:pt>
                <c:pt idx="12">
                  <c:v>70.5215586307577</c:v>
                </c:pt>
                <c:pt idx="13">
                  <c:v>70.5631733717284</c:v>
                </c:pt>
                <c:pt idx="14">
                  <c:v>70.5996388516848</c:v>
                </c:pt>
                <c:pt idx="15">
                  <c:v>70.6372127858039</c:v>
                </c:pt>
                <c:pt idx="16">
                  <c:v>70.675441933808</c:v>
                </c:pt>
                <c:pt idx="17">
                  <c:v>70.71562075183699</c:v>
                </c:pt>
                <c:pt idx="18">
                  <c:v>70.76137702024251</c:v>
                </c:pt>
                <c:pt idx="19">
                  <c:v>70.80502095775741</c:v>
                </c:pt>
                <c:pt idx="20">
                  <c:v>70.85184941122441</c:v>
                </c:pt>
                <c:pt idx="21">
                  <c:v>70.8566666666667</c:v>
                </c:pt>
                <c:pt idx="22">
                  <c:v>70.8566666666667</c:v>
                </c:pt>
                <c:pt idx="23">
                  <c:v>70.86296195602119</c:v>
                </c:pt>
                <c:pt idx="24">
                  <c:v>70.91141703275881</c:v>
                </c:pt>
                <c:pt idx="25">
                  <c:v>70.9662894705978</c:v>
                </c:pt>
                <c:pt idx="26">
                  <c:v>71.01242897726461</c:v>
                </c:pt>
                <c:pt idx="27">
                  <c:v>71.0678818547848</c:v>
                </c:pt>
                <c:pt idx="28">
                  <c:v>71.11555025751569</c:v>
                </c:pt>
                <c:pt idx="29">
                  <c:v>71.1652187961552</c:v>
                </c:pt>
                <c:pt idx="30">
                  <c:v>71.22886785304431</c:v>
                </c:pt>
                <c:pt idx="31">
                  <c:v>71.23333333333341</c:v>
                </c:pt>
                <c:pt idx="32">
                  <c:v>71.2867007635369</c:v>
                </c:pt>
                <c:pt idx="33">
                  <c:v>71.3522774795926</c:v>
                </c:pt>
                <c:pt idx="34">
                  <c:v>71.4155056461407</c:v>
                </c:pt>
                <c:pt idx="35">
                  <c:v>71.4790575122158</c:v>
                </c:pt>
                <c:pt idx="36">
                  <c:v>71.54450979549451</c:v>
                </c:pt>
                <c:pt idx="37">
                  <c:v>71.61</c:v>
                </c:pt>
                <c:pt idx="38">
                  <c:v>71.6235257453469</c:v>
                </c:pt>
                <c:pt idx="39">
                  <c:v>71.7018857693009</c:v>
                </c:pt>
                <c:pt idx="40">
                  <c:v>71.7697633052493</c:v>
                </c:pt>
                <c:pt idx="41">
                  <c:v>71.8406119890535</c:v>
                </c:pt>
                <c:pt idx="42">
                  <c:v>71.9090063430499</c:v>
                </c:pt>
                <c:pt idx="43">
                  <c:v>71.9804179941999</c:v>
                </c:pt>
                <c:pt idx="44">
                  <c:v>72.0121879376488</c:v>
                </c:pt>
                <c:pt idx="45">
                  <c:v>72.0833894331403</c:v>
                </c:pt>
                <c:pt idx="46">
                  <c:v>72.1589103390213</c:v>
                </c:pt>
                <c:pt idx="47">
                  <c:v>72.24623906672601</c:v>
                </c:pt>
                <c:pt idx="48">
                  <c:v>72.32174163260569</c:v>
                </c:pt>
                <c:pt idx="49">
                  <c:v>72.363421265388</c:v>
                </c:pt>
                <c:pt idx="50">
                  <c:v>72.4467223148671</c:v>
                </c:pt>
                <c:pt idx="51">
                  <c:v>72.5298314671527</c:v>
                </c:pt>
                <c:pt idx="52">
                  <c:v>72.6163045421489</c:v>
                </c:pt>
                <c:pt idx="53">
                  <c:v>72.7043067566119</c:v>
                </c:pt>
                <c:pt idx="54">
                  <c:v>72.7506109216426</c:v>
                </c:pt>
                <c:pt idx="55">
                  <c:v>72.8386593997372</c:v>
                </c:pt>
                <c:pt idx="56">
                  <c:v>72.9157603823851</c:v>
                </c:pt>
                <c:pt idx="57">
                  <c:v>73.0012299494533</c:v>
                </c:pt>
                <c:pt idx="58">
                  <c:v>73.0842956495536</c:v>
                </c:pt>
                <c:pt idx="59">
                  <c:v>73.1400058061454</c:v>
                </c:pt>
                <c:pt idx="60">
                  <c:v>73.2254984212161</c:v>
                </c:pt>
                <c:pt idx="61">
                  <c:v>73.30597103143531</c:v>
                </c:pt>
                <c:pt idx="62">
                  <c:v>73.39279206975939</c:v>
                </c:pt>
                <c:pt idx="63">
                  <c:v>73.4691919786857</c:v>
                </c:pt>
                <c:pt idx="64">
                  <c:v>73.535895214695</c:v>
                </c:pt>
                <c:pt idx="65">
                  <c:v>73.6341050796733</c:v>
                </c:pt>
                <c:pt idx="66">
                  <c:v>73.7195355258004</c:v>
                </c:pt>
                <c:pt idx="67">
                  <c:v>73.8059516399078</c:v>
                </c:pt>
                <c:pt idx="68">
                  <c:v>73.87</c:v>
                </c:pt>
                <c:pt idx="69">
                  <c:v>73.9418883407496</c:v>
                </c:pt>
                <c:pt idx="70">
                  <c:v>74.0224852014379</c:v>
                </c:pt>
                <c:pt idx="71">
                  <c:v>74.1094175140352</c:v>
                </c:pt>
                <c:pt idx="72">
                  <c:v>74.1880291564585</c:v>
                </c:pt>
                <c:pt idx="73">
                  <c:v>74.2466666666667</c:v>
                </c:pt>
                <c:pt idx="74">
                  <c:v>74.308443764727</c:v>
                </c:pt>
                <c:pt idx="75">
                  <c:v>74.38511314791999</c:v>
                </c:pt>
                <c:pt idx="76">
                  <c:v>74.46317790434939</c:v>
                </c:pt>
                <c:pt idx="77">
                  <c:v>74.5309120641066</c:v>
                </c:pt>
                <c:pt idx="78">
                  <c:v>74.59351187166359</c:v>
                </c:pt>
                <c:pt idx="79">
                  <c:v>74.62333333333331</c:v>
                </c:pt>
                <c:pt idx="80">
                  <c:v>74.6463777516642</c:v>
                </c:pt>
                <c:pt idx="81">
                  <c:v>74.70170061011621</c:v>
                </c:pt>
                <c:pt idx="82">
                  <c:v>74.7608104466845</c:v>
                </c:pt>
                <c:pt idx="83">
                  <c:v>74.8162941310555</c:v>
                </c:pt>
                <c:pt idx="84">
                  <c:v>74.8670358182643</c:v>
                </c:pt>
                <c:pt idx="85">
                  <c:v>74.9201300146363</c:v>
                </c:pt>
                <c:pt idx="86">
                  <c:v>74.966597087529</c:v>
                </c:pt>
                <c:pt idx="87">
                  <c:v>75</c:v>
                </c:pt>
                <c:pt idx="88">
                  <c:v>75</c:v>
                </c:pt>
                <c:pt idx="89">
                  <c:v>75</c:v>
                </c:pt>
                <c:pt idx="90">
                  <c:v>75</c:v>
                </c:pt>
                <c:pt idx="91">
                  <c:v>75</c:v>
                </c:pt>
                <c:pt idx="92">
                  <c:v>75</c:v>
                </c:pt>
                <c:pt idx="93">
                  <c:v>75</c:v>
                </c:pt>
                <c:pt idx="94">
                  <c:v>75</c:v>
                </c:pt>
                <c:pt idx="95">
                  <c:v>75</c:v>
                </c:pt>
                <c:pt idx="96">
                  <c:v>75</c:v>
                </c:pt>
                <c:pt idx="97">
                  <c:v>75</c:v>
                </c:pt>
                <c:pt idx="98">
                  <c:v>75</c:v>
                </c:pt>
              </c:numCache>
            </c:numRef>
          </c:yVal>
        </c:ser>
        <c:ser>
          <c:idx val="4"/>
          <c:order val="4"/>
          <c:tx>
            <c:v>Three-way collar</c:v>
          </c:tx>
          <c:spPr>
            <a:ln w="28575">
              <a:solidFill>
                <a:srgbClr val="7A4FD0"/>
              </a:solidFill>
              <a:prstDash val="solid"/>
            </a:ln>
          </c:spPr>
          <c:marker>
            <c:symbol val="none"/>
          </c:marker>
          <c:xVal>
            <c:numRef>
              <c:f>Distribution!$A$3:$A$101</c:f>
              <c:numCache>
                <c:formatCode>General</c:formatCode>
                <c:ptCount val="99"/>
                <c:pt idx="0">
                  <c:v>0.01</c:v>
                </c:pt>
                <c:pt idx="1">
                  <c:v>0.02</c:v>
                </c:pt>
                <c:pt idx="2">
                  <c:v>0.03</c:v>
                </c:pt>
                <c:pt idx="3">
                  <c:v>0.04</c:v>
                </c:pt>
                <c:pt idx="4">
                  <c:v>0.05</c:v>
                </c:pt>
                <c:pt idx="5">
                  <c:v>0.06</c:v>
                </c:pt>
                <c:pt idx="6">
                  <c:v>0.07000000000000001</c:v>
                </c:pt>
                <c:pt idx="7">
                  <c:v>0.08</c:v>
                </c:pt>
                <c:pt idx="8">
                  <c:v>0.09</c:v>
                </c:pt>
                <c:pt idx="9">
                  <c:v>0.1</c:v>
                </c:pt>
                <c:pt idx="10">
                  <c:v>0.11</c:v>
                </c:pt>
                <c:pt idx="11">
                  <c:v>0.12</c:v>
                </c:pt>
                <c:pt idx="12">
                  <c:v>0.13</c:v>
                </c:pt>
                <c:pt idx="13">
                  <c:v>0.14</c:v>
                </c:pt>
                <c:pt idx="14">
                  <c:v>0.15</c:v>
                </c:pt>
                <c:pt idx="15">
                  <c:v>0.16</c:v>
                </c:pt>
                <c:pt idx="16">
                  <c:v>0.17</c:v>
                </c:pt>
                <c:pt idx="17">
                  <c:v>0.18</c:v>
                </c:pt>
                <c:pt idx="18">
                  <c:v>0.19</c:v>
                </c:pt>
                <c:pt idx="19">
                  <c:v>0.2</c:v>
                </c:pt>
                <c:pt idx="20">
                  <c:v>0.21</c:v>
                </c:pt>
                <c:pt idx="21">
                  <c:v>0.22</c:v>
                </c:pt>
                <c:pt idx="22">
                  <c:v>0.23</c:v>
                </c:pt>
                <c:pt idx="23">
                  <c:v>0.24</c:v>
                </c:pt>
                <c:pt idx="24">
                  <c:v>0.25</c:v>
                </c:pt>
                <c:pt idx="25">
                  <c:v>0.26</c:v>
                </c:pt>
                <c:pt idx="26">
                  <c:v>0.27</c:v>
                </c:pt>
                <c:pt idx="27">
                  <c:v>0.28</c:v>
                </c:pt>
                <c:pt idx="28">
                  <c:v>0.29</c:v>
                </c:pt>
                <c:pt idx="29">
                  <c:v>0.3</c:v>
                </c:pt>
                <c:pt idx="30">
                  <c:v>0.31</c:v>
                </c:pt>
                <c:pt idx="31">
                  <c:v>0.32</c:v>
                </c:pt>
                <c:pt idx="32">
                  <c:v>0.33</c:v>
                </c:pt>
                <c:pt idx="33">
                  <c:v>0.34</c:v>
                </c:pt>
                <c:pt idx="34">
                  <c:v>0.35</c:v>
                </c:pt>
                <c:pt idx="35">
                  <c:v>0.36</c:v>
                </c:pt>
                <c:pt idx="36">
                  <c:v>0.37</c:v>
                </c:pt>
                <c:pt idx="37">
                  <c:v>0.38</c:v>
                </c:pt>
                <c:pt idx="38">
                  <c:v>0.39</c:v>
                </c:pt>
                <c:pt idx="39">
                  <c:v>0.4</c:v>
                </c:pt>
                <c:pt idx="40">
                  <c:v>0.41</c:v>
                </c:pt>
                <c:pt idx="41">
                  <c:v>0.42</c:v>
                </c:pt>
                <c:pt idx="42">
                  <c:v>0.43</c:v>
                </c:pt>
                <c:pt idx="43">
                  <c:v>0.44</c:v>
                </c:pt>
                <c:pt idx="44">
                  <c:v>0.45</c:v>
                </c:pt>
                <c:pt idx="45">
                  <c:v>0.46</c:v>
                </c:pt>
                <c:pt idx="46">
                  <c:v>0.47</c:v>
                </c:pt>
                <c:pt idx="47">
                  <c:v>0.48</c:v>
                </c:pt>
                <c:pt idx="48">
                  <c:v>0.49</c:v>
                </c:pt>
                <c:pt idx="49">
                  <c:v>0.5</c:v>
                </c:pt>
                <c:pt idx="50">
                  <c:v>0.51</c:v>
                </c:pt>
                <c:pt idx="51">
                  <c:v>0.52</c:v>
                </c:pt>
                <c:pt idx="52">
                  <c:v>0.53</c:v>
                </c:pt>
                <c:pt idx="53">
                  <c:v>0.54</c:v>
                </c:pt>
                <c:pt idx="54">
                  <c:v>0.55</c:v>
                </c:pt>
                <c:pt idx="55">
                  <c:v>0.5600000000000001</c:v>
                </c:pt>
                <c:pt idx="56">
                  <c:v>0.57</c:v>
                </c:pt>
                <c:pt idx="57">
                  <c:v>0.58</c:v>
                </c:pt>
                <c:pt idx="58">
                  <c:v>0.59</c:v>
                </c:pt>
                <c:pt idx="59">
                  <c:v>0.6</c:v>
                </c:pt>
                <c:pt idx="60">
                  <c:v>0.61</c:v>
                </c:pt>
                <c:pt idx="61">
                  <c:v>0.62</c:v>
                </c:pt>
                <c:pt idx="62">
                  <c:v>0.63</c:v>
                </c:pt>
                <c:pt idx="63">
                  <c:v>0.64</c:v>
                </c:pt>
                <c:pt idx="64">
                  <c:v>0.65</c:v>
                </c:pt>
                <c:pt idx="65">
                  <c:v>0.66</c:v>
                </c:pt>
                <c:pt idx="66">
                  <c:v>0.67</c:v>
                </c:pt>
                <c:pt idx="67">
                  <c:v>0.68</c:v>
                </c:pt>
                <c:pt idx="68">
                  <c:v>0.6899999999999999</c:v>
                </c:pt>
                <c:pt idx="69">
                  <c:v>0.7</c:v>
                </c:pt>
                <c:pt idx="70">
                  <c:v>0.71</c:v>
                </c:pt>
                <c:pt idx="71">
                  <c:v>0.72</c:v>
                </c:pt>
                <c:pt idx="72">
                  <c:v>0.73</c:v>
                </c:pt>
                <c:pt idx="73">
                  <c:v>0.74</c:v>
                </c:pt>
                <c:pt idx="74">
                  <c:v>0.75</c:v>
                </c:pt>
                <c:pt idx="75">
                  <c:v>0.76</c:v>
                </c:pt>
                <c:pt idx="76">
                  <c:v>0.77</c:v>
                </c:pt>
                <c:pt idx="77">
                  <c:v>0.78</c:v>
                </c:pt>
                <c:pt idx="78">
                  <c:v>0.79</c:v>
                </c:pt>
                <c:pt idx="79">
                  <c:v>0.8</c:v>
                </c:pt>
                <c:pt idx="80">
                  <c:v>0.8100000000000001</c:v>
                </c:pt>
                <c:pt idx="81">
                  <c:v>0.82</c:v>
                </c:pt>
                <c:pt idx="82">
                  <c:v>0.83</c:v>
                </c:pt>
                <c:pt idx="83">
                  <c:v>0.84</c:v>
                </c:pt>
                <c:pt idx="84">
                  <c:v>0.85</c:v>
                </c:pt>
                <c:pt idx="85">
                  <c:v>0.86</c:v>
                </c:pt>
                <c:pt idx="86">
                  <c:v>0.87</c:v>
                </c:pt>
                <c:pt idx="87">
                  <c:v>0.88</c:v>
                </c:pt>
                <c:pt idx="88">
                  <c:v>0.89</c:v>
                </c:pt>
                <c:pt idx="89">
                  <c:v>0.9</c:v>
                </c:pt>
                <c:pt idx="90">
                  <c:v>0.91</c:v>
                </c:pt>
                <c:pt idx="91">
                  <c:v>0.92</c:v>
                </c:pt>
                <c:pt idx="92">
                  <c:v>0.93</c:v>
                </c:pt>
                <c:pt idx="93">
                  <c:v>0.9399999999999999</c:v>
                </c:pt>
                <c:pt idx="94">
                  <c:v>0.95</c:v>
                </c:pt>
                <c:pt idx="95">
                  <c:v>0.96</c:v>
                </c:pt>
                <c:pt idx="96">
                  <c:v>0.97</c:v>
                </c:pt>
                <c:pt idx="97">
                  <c:v>0.98</c:v>
                </c:pt>
                <c:pt idx="98">
                  <c:v>0.99</c:v>
                </c:pt>
              </c:numCache>
            </c:numRef>
          </c:xVal>
          <c:yVal>
            <c:numRef>
              <c:f>Distribution!$F$3:$F$101</c:f>
              <c:numCache>
                <c:formatCode>General</c:formatCode>
                <c:ptCount val="99"/>
                <c:pt idx="0">
                  <c:v>66.5878</c:v>
                </c:pt>
                <c:pt idx="1">
                  <c:v>66.5878</c:v>
                </c:pt>
                <c:pt idx="2">
                  <c:v>66.5878</c:v>
                </c:pt>
                <c:pt idx="3">
                  <c:v>66.5878</c:v>
                </c:pt>
                <c:pt idx="4">
                  <c:v>66.60573896472179</c:v>
                </c:pt>
                <c:pt idx="5">
                  <c:v>66.668577453655</c:v>
                </c:pt>
                <c:pt idx="6">
                  <c:v>66.7239452365645</c:v>
                </c:pt>
                <c:pt idx="7">
                  <c:v>66.78659457496791</c:v>
                </c:pt>
                <c:pt idx="8">
                  <c:v>66.84745549722891</c:v>
                </c:pt>
                <c:pt idx="9">
                  <c:v>66.9101890001802</c:v>
                </c:pt>
                <c:pt idx="10">
                  <c:v>66.9731134919446</c:v>
                </c:pt>
                <c:pt idx="11">
                  <c:v>67.0423235738985</c:v>
                </c:pt>
                <c:pt idx="12">
                  <c:v>67.11365008586171</c:v>
                </c:pt>
                <c:pt idx="13">
                  <c:v>67.1902944691614</c:v>
                </c:pt>
                <c:pt idx="14">
                  <c:v>67.263482519996</c:v>
                </c:pt>
                <c:pt idx="15">
                  <c:v>67.2888166666667</c:v>
                </c:pt>
                <c:pt idx="16">
                  <c:v>67.35061451221949</c:v>
                </c:pt>
                <c:pt idx="17">
                  <c:v>67.4209956637583</c:v>
                </c:pt>
                <c:pt idx="18">
                  <c:v>67.48642161592301</c:v>
                </c:pt>
                <c:pt idx="19">
                  <c:v>67.5764620323296</c:v>
                </c:pt>
                <c:pt idx="20">
                  <c:v>67.652426663599</c:v>
                </c:pt>
                <c:pt idx="21">
                  <c:v>67.7369171723974</c:v>
                </c:pt>
                <c:pt idx="22">
                  <c:v>67.8203304299364</c:v>
                </c:pt>
                <c:pt idx="23">
                  <c:v>67.9009917918208</c:v>
                </c:pt>
                <c:pt idx="24">
                  <c:v>67.98851712617881</c:v>
                </c:pt>
                <c:pt idx="25">
                  <c:v>68.06718421684231</c:v>
                </c:pt>
                <c:pt idx="26">
                  <c:v>68.1597153436704</c:v>
                </c:pt>
                <c:pt idx="27">
                  <c:v>68.2618271271305</c:v>
                </c:pt>
                <c:pt idx="28">
                  <c:v>68.3637939936401</c:v>
                </c:pt>
                <c:pt idx="29">
                  <c:v>68.4659779401</c:v>
                </c:pt>
                <c:pt idx="30">
                  <c:v>68.58222305296511</c:v>
                </c:pt>
                <c:pt idx="31">
                  <c:v>68.6901607128702</c:v>
                </c:pt>
                <c:pt idx="32">
                  <c:v>68.8193325970821</c:v>
                </c:pt>
                <c:pt idx="33">
                  <c:v>68.93398985268441</c:v>
                </c:pt>
                <c:pt idx="34">
                  <c:v>69.04079572756289</c:v>
                </c:pt>
                <c:pt idx="35">
                  <c:v>69.151910767706</c:v>
                </c:pt>
                <c:pt idx="36">
                  <c:v>69.2691830168188</c:v>
                </c:pt>
                <c:pt idx="37">
                  <c:v>69.38718837803491</c:v>
                </c:pt>
                <c:pt idx="38">
                  <c:v>69.51580846318301</c:v>
                </c:pt>
                <c:pt idx="39">
                  <c:v>69.6313202528021</c:v>
                </c:pt>
                <c:pt idx="40">
                  <c:v>69.7523264198996</c:v>
                </c:pt>
                <c:pt idx="41">
                  <c:v>69.890347118156</c:v>
                </c:pt>
                <c:pt idx="42">
                  <c:v>70.0077852513342</c:v>
                </c:pt>
                <c:pt idx="43">
                  <c:v>70.1266995610851</c:v>
                </c:pt>
                <c:pt idx="44">
                  <c:v>70.26018253541071</c:v>
                </c:pt>
                <c:pt idx="45">
                  <c:v>70.3898676374986</c:v>
                </c:pt>
                <c:pt idx="46">
                  <c:v>70.52563707240439</c:v>
                </c:pt>
                <c:pt idx="47">
                  <c:v>70.67153150047341</c:v>
                </c:pt>
                <c:pt idx="48">
                  <c:v>70.81704705082591</c:v>
                </c:pt>
                <c:pt idx="49">
                  <c:v>70.96123942070309</c:v>
                </c:pt>
                <c:pt idx="50">
                  <c:v>71.1148467928827</c:v>
                </c:pt>
                <c:pt idx="51">
                  <c:v>71.2781395785571</c:v>
                </c:pt>
                <c:pt idx="52">
                  <c:v>71.425885557263</c:v>
                </c:pt>
                <c:pt idx="53">
                  <c:v>71.5806580892036</c:v>
                </c:pt>
                <c:pt idx="54">
                  <c:v>71.723561951303</c:v>
                </c:pt>
                <c:pt idx="55">
                  <c:v>71.87507672527261</c:v>
                </c:pt>
                <c:pt idx="56">
                  <c:v>72.0452523911749</c:v>
                </c:pt>
                <c:pt idx="57">
                  <c:v>72.2029663505902</c:v>
                </c:pt>
                <c:pt idx="58">
                  <c:v>72.35210853365351</c:v>
                </c:pt>
                <c:pt idx="59">
                  <c:v>72.49666023424869</c:v>
                </c:pt>
                <c:pt idx="60">
                  <c:v>72.65077268060151</c:v>
                </c:pt>
                <c:pt idx="61">
                  <c:v>72.8212407846716</c:v>
                </c:pt>
                <c:pt idx="62">
                  <c:v>72.9666179920047</c:v>
                </c:pt>
                <c:pt idx="63">
                  <c:v>73.1116709009617</c:v>
                </c:pt>
                <c:pt idx="64">
                  <c:v>73.2725013530106</c:v>
                </c:pt>
                <c:pt idx="65">
                  <c:v>73.4269636753608</c:v>
                </c:pt>
                <c:pt idx="66">
                  <c:v>73.5714254493093</c:v>
                </c:pt>
                <c:pt idx="67">
                  <c:v>73.74418505298721</c:v>
                </c:pt>
                <c:pt idx="68">
                  <c:v>73.8877501689707</c:v>
                </c:pt>
                <c:pt idx="69">
                  <c:v>74.02305137135581</c:v>
                </c:pt>
                <c:pt idx="70">
                  <c:v>74.1723022513915</c:v>
                </c:pt>
                <c:pt idx="71">
                  <c:v>74.29509884609161</c:v>
                </c:pt>
                <c:pt idx="72">
                  <c:v>74.4356547023894</c:v>
                </c:pt>
                <c:pt idx="73">
                  <c:v>74.55883705910399</c:v>
                </c:pt>
                <c:pt idx="74">
                  <c:v>74.682262482672</c:v>
                </c:pt>
                <c:pt idx="75">
                  <c:v>74.7974668962993</c:v>
                </c:pt>
                <c:pt idx="76">
                  <c:v>74.9027029036223</c:v>
                </c:pt>
                <c:pt idx="77">
                  <c:v>75</c:v>
                </c:pt>
                <c:pt idx="78">
                  <c:v>75.11804524517601</c:v>
                </c:pt>
                <c:pt idx="79">
                  <c:v>75.3019088015003</c:v>
                </c:pt>
                <c:pt idx="80">
                  <c:v>75.4927347225706</c:v>
                </c:pt>
                <c:pt idx="81">
                  <c:v>75.7125042377635</c:v>
                </c:pt>
                <c:pt idx="82">
                  <c:v>75.96316705930499</c:v>
                </c:pt>
                <c:pt idx="83">
                  <c:v>76.27325361574999</c:v>
                </c:pt>
                <c:pt idx="84">
                  <c:v>76.6032711908788</c:v>
                </c:pt>
                <c:pt idx="85">
                  <c:v>76.9651788864808</c:v>
                </c:pt>
                <c:pt idx="86">
                  <c:v>77.3876581703455</c:v>
                </c:pt>
                <c:pt idx="87">
                  <c:v>77.9066529169409</c:v>
                </c:pt>
                <c:pt idx="88">
                  <c:v>78.4905877662347</c:v>
                </c:pt>
                <c:pt idx="89">
                  <c:v>79.1180027279942</c:v>
                </c:pt>
                <c:pt idx="90">
                  <c:v>79.77014867542989</c:v>
                </c:pt>
                <c:pt idx="91">
                  <c:v>80.6946685012082</c:v>
                </c:pt>
                <c:pt idx="92">
                  <c:v>81.70699008627101</c:v>
                </c:pt>
                <c:pt idx="93">
                  <c:v>82.8548244820243</c:v>
                </c:pt>
                <c:pt idx="94">
                  <c:v>84.1739382247555</c:v>
                </c:pt>
                <c:pt idx="95">
                  <c:v>85.9923393870246</c:v>
                </c:pt>
                <c:pt idx="96">
                  <c:v>88.5457592103141</c:v>
                </c:pt>
                <c:pt idx="97">
                  <c:v>92.0495764470555</c:v>
                </c:pt>
                <c:pt idx="98">
                  <c:v>97.58322078453971</c:v>
                </c:pt>
              </c:numCache>
            </c:numRef>
          </c:yVal>
        </c:ser>
        <c:ser>
          <c:idx val="5"/>
          <c:order val="5"/>
          <c:tx>
            <c:v>Participating swap</c:v>
          </c:tx>
          <c:spPr>
            <a:ln w="28575">
              <a:solidFill>
                <a:srgbClr val="EDA100"/>
              </a:solidFill>
              <a:prstDash val="solid"/>
            </a:ln>
          </c:spPr>
          <c:marker>
            <c:symbol val="none"/>
          </c:marker>
          <c:xVal>
            <c:numRef>
              <c:f>Distribution!$A$3:$A$101</c:f>
              <c:numCache>
                <c:formatCode>General</c:formatCode>
                <c:ptCount val="99"/>
                <c:pt idx="0">
                  <c:v>0.01</c:v>
                </c:pt>
                <c:pt idx="1">
                  <c:v>0.02</c:v>
                </c:pt>
                <c:pt idx="2">
                  <c:v>0.03</c:v>
                </c:pt>
                <c:pt idx="3">
                  <c:v>0.04</c:v>
                </c:pt>
                <c:pt idx="4">
                  <c:v>0.05</c:v>
                </c:pt>
                <c:pt idx="5">
                  <c:v>0.06</c:v>
                </c:pt>
                <c:pt idx="6">
                  <c:v>0.07000000000000001</c:v>
                </c:pt>
                <c:pt idx="7">
                  <c:v>0.08</c:v>
                </c:pt>
                <c:pt idx="8">
                  <c:v>0.09</c:v>
                </c:pt>
                <c:pt idx="9">
                  <c:v>0.1</c:v>
                </c:pt>
                <c:pt idx="10">
                  <c:v>0.11</c:v>
                </c:pt>
                <c:pt idx="11">
                  <c:v>0.12</c:v>
                </c:pt>
                <c:pt idx="12">
                  <c:v>0.13</c:v>
                </c:pt>
                <c:pt idx="13">
                  <c:v>0.14</c:v>
                </c:pt>
                <c:pt idx="14">
                  <c:v>0.15</c:v>
                </c:pt>
                <c:pt idx="15">
                  <c:v>0.16</c:v>
                </c:pt>
                <c:pt idx="16">
                  <c:v>0.17</c:v>
                </c:pt>
                <c:pt idx="17">
                  <c:v>0.18</c:v>
                </c:pt>
                <c:pt idx="18">
                  <c:v>0.19</c:v>
                </c:pt>
                <c:pt idx="19">
                  <c:v>0.2</c:v>
                </c:pt>
                <c:pt idx="20">
                  <c:v>0.21</c:v>
                </c:pt>
                <c:pt idx="21">
                  <c:v>0.22</c:v>
                </c:pt>
                <c:pt idx="22">
                  <c:v>0.23</c:v>
                </c:pt>
                <c:pt idx="23">
                  <c:v>0.24</c:v>
                </c:pt>
                <c:pt idx="24">
                  <c:v>0.25</c:v>
                </c:pt>
                <c:pt idx="25">
                  <c:v>0.26</c:v>
                </c:pt>
                <c:pt idx="26">
                  <c:v>0.27</c:v>
                </c:pt>
                <c:pt idx="27">
                  <c:v>0.28</c:v>
                </c:pt>
                <c:pt idx="28">
                  <c:v>0.29</c:v>
                </c:pt>
                <c:pt idx="29">
                  <c:v>0.3</c:v>
                </c:pt>
                <c:pt idx="30">
                  <c:v>0.31</c:v>
                </c:pt>
                <c:pt idx="31">
                  <c:v>0.32</c:v>
                </c:pt>
                <c:pt idx="32">
                  <c:v>0.33</c:v>
                </c:pt>
                <c:pt idx="33">
                  <c:v>0.34</c:v>
                </c:pt>
                <c:pt idx="34">
                  <c:v>0.35</c:v>
                </c:pt>
                <c:pt idx="35">
                  <c:v>0.36</c:v>
                </c:pt>
                <c:pt idx="36">
                  <c:v>0.37</c:v>
                </c:pt>
                <c:pt idx="37">
                  <c:v>0.38</c:v>
                </c:pt>
                <c:pt idx="38">
                  <c:v>0.39</c:v>
                </c:pt>
                <c:pt idx="39">
                  <c:v>0.4</c:v>
                </c:pt>
                <c:pt idx="40">
                  <c:v>0.41</c:v>
                </c:pt>
                <c:pt idx="41">
                  <c:v>0.42</c:v>
                </c:pt>
                <c:pt idx="42">
                  <c:v>0.43</c:v>
                </c:pt>
                <c:pt idx="43">
                  <c:v>0.44</c:v>
                </c:pt>
                <c:pt idx="44">
                  <c:v>0.45</c:v>
                </c:pt>
                <c:pt idx="45">
                  <c:v>0.46</c:v>
                </c:pt>
                <c:pt idx="46">
                  <c:v>0.47</c:v>
                </c:pt>
                <c:pt idx="47">
                  <c:v>0.48</c:v>
                </c:pt>
                <c:pt idx="48">
                  <c:v>0.49</c:v>
                </c:pt>
                <c:pt idx="49">
                  <c:v>0.5</c:v>
                </c:pt>
                <c:pt idx="50">
                  <c:v>0.51</c:v>
                </c:pt>
                <c:pt idx="51">
                  <c:v>0.52</c:v>
                </c:pt>
                <c:pt idx="52">
                  <c:v>0.53</c:v>
                </c:pt>
                <c:pt idx="53">
                  <c:v>0.54</c:v>
                </c:pt>
                <c:pt idx="54">
                  <c:v>0.55</c:v>
                </c:pt>
                <c:pt idx="55">
                  <c:v>0.5600000000000001</c:v>
                </c:pt>
                <c:pt idx="56">
                  <c:v>0.57</c:v>
                </c:pt>
                <c:pt idx="57">
                  <c:v>0.58</c:v>
                </c:pt>
                <c:pt idx="58">
                  <c:v>0.59</c:v>
                </c:pt>
                <c:pt idx="59">
                  <c:v>0.6</c:v>
                </c:pt>
                <c:pt idx="60">
                  <c:v>0.61</c:v>
                </c:pt>
                <c:pt idx="61">
                  <c:v>0.62</c:v>
                </c:pt>
                <c:pt idx="62">
                  <c:v>0.63</c:v>
                </c:pt>
                <c:pt idx="63">
                  <c:v>0.64</c:v>
                </c:pt>
                <c:pt idx="64">
                  <c:v>0.65</c:v>
                </c:pt>
                <c:pt idx="65">
                  <c:v>0.66</c:v>
                </c:pt>
                <c:pt idx="66">
                  <c:v>0.67</c:v>
                </c:pt>
                <c:pt idx="67">
                  <c:v>0.68</c:v>
                </c:pt>
                <c:pt idx="68">
                  <c:v>0.6899999999999999</c:v>
                </c:pt>
                <c:pt idx="69">
                  <c:v>0.7</c:v>
                </c:pt>
                <c:pt idx="70">
                  <c:v>0.71</c:v>
                </c:pt>
                <c:pt idx="71">
                  <c:v>0.72</c:v>
                </c:pt>
                <c:pt idx="72">
                  <c:v>0.73</c:v>
                </c:pt>
                <c:pt idx="73">
                  <c:v>0.74</c:v>
                </c:pt>
                <c:pt idx="74">
                  <c:v>0.75</c:v>
                </c:pt>
                <c:pt idx="75">
                  <c:v>0.76</c:v>
                </c:pt>
                <c:pt idx="76">
                  <c:v>0.77</c:v>
                </c:pt>
                <c:pt idx="77">
                  <c:v>0.78</c:v>
                </c:pt>
                <c:pt idx="78">
                  <c:v>0.79</c:v>
                </c:pt>
                <c:pt idx="79">
                  <c:v>0.8</c:v>
                </c:pt>
                <c:pt idx="80">
                  <c:v>0.8100000000000001</c:v>
                </c:pt>
                <c:pt idx="81">
                  <c:v>0.82</c:v>
                </c:pt>
                <c:pt idx="82">
                  <c:v>0.83</c:v>
                </c:pt>
                <c:pt idx="83">
                  <c:v>0.84</c:v>
                </c:pt>
                <c:pt idx="84">
                  <c:v>0.85</c:v>
                </c:pt>
                <c:pt idx="85">
                  <c:v>0.86</c:v>
                </c:pt>
                <c:pt idx="86">
                  <c:v>0.87</c:v>
                </c:pt>
                <c:pt idx="87">
                  <c:v>0.88</c:v>
                </c:pt>
                <c:pt idx="88">
                  <c:v>0.89</c:v>
                </c:pt>
                <c:pt idx="89">
                  <c:v>0.9</c:v>
                </c:pt>
                <c:pt idx="90">
                  <c:v>0.91</c:v>
                </c:pt>
                <c:pt idx="91">
                  <c:v>0.92</c:v>
                </c:pt>
                <c:pt idx="92">
                  <c:v>0.93</c:v>
                </c:pt>
                <c:pt idx="93">
                  <c:v>0.9399999999999999</c:v>
                </c:pt>
                <c:pt idx="94">
                  <c:v>0.95</c:v>
                </c:pt>
                <c:pt idx="95">
                  <c:v>0.96</c:v>
                </c:pt>
                <c:pt idx="96">
                  <c:v>0.97</c:v>
                </c:pt>
                <c:pt idx="97">
                  <c:v>0.98</c:v>
                </c:pt>
                <c:pt idx="98">
                  <c:v>0.99</c:v>
                </c:pt>
              </c:numCache>
            </c:numRef>
          </c:xVal>
          <c:yVal>
            <c:numRef>
              <c:f>Distribution!$G$3:$G$101</c:f>
              <c:numCache>
                <c:formatCode>General</c:formatCode>
                <c:ptCount val="99"/>
                <c:pt idx="0">
                  <c:v>61.7997973170437</c:v>
                </c:pt>
                <c:pt idx="1">
                  <c:v>62.9510743741145</c:v>
                </c:pt>
                <c:pt idx="2">
                  <c:v>63.8121398646394</c:v>
                </c:pt>
                <c:pt idx="3">
                  <c:v>64.4624208315887</c:v>
                </c:pt>
                <c:pt idx="4">
                  <c:v>64.8927209128817</c:v>
                </c:pt>
                <c:pt idx="5">
                  <c:v>65.317019707744</c:v>
                </c:pt>
                <c:pt idx="6">
                  <c:v>65.720149387822</c:v>
                </c:pt>
                <c:pt idx="7">
                  <c:v>66.09923630804769</c:v>
                </c:pt>
                <c:pt idx="8">
                  <c:v>66.4153930232907</c:v>
                </c:pt>
                <c:pt idx="9">
                  <c:v>66.71280765904631</c:v>
                </c:pt>
                <c:pt idx="10">
                  <c:v>66.996065570241</c:v>
                </c:pt>
                <c:pt idx="11">
                  <c:v>67.2518012442748</c:v>
                </c:pt>
                <c:pt idx="12">
                  <c:v>67.5186469697984</c:v>
                </c:pt>
                <c:pt idx="13">
                  <c:v>67.7586064585667</c:v>
                </c:pt>
                <c:pt idx="14">
                  <c:v>68.01057285405371</c:v>
                </c:pt>
                <c:pt idx="15">
                  <c:v>68.24124116178059</c:v>
                </c:pt>
                <c:pt idx="16">
                  <c:v>68.4599992656093</c:v>
                </c:pt>
                <c:pt idx="17">
                  <c:v>68.65984166687809</c:v>
                </c:pt>
                <c:pt idx="18">
                  <c:v>68.8517158394901</c:v>
                </c:pt>
                <c:pt idx="19">
                  <c:v>69.0586009709468</c:v>
                </c:pt>
                <c:pt idx="20">
                  <c:v>69.25132076055991</c:v>
                </c:pt>
                <c:pt idx="21">
                  <c:v>69.4323928540073</c:v>
                </c:pt>
                <c:pt idx="22">
                  <c:v>69.62086886125719</c:v>
                </c:pt>
                <c:pt idx="23">
                  <c:v>69.78901634960179</c:v>
                </c:pt>
                <c:pt idx="24">
                  <c:v>69.9639837437023</c:v>
                </c:pt>
                <c:pt idx="25">
                  <c:v>70.1398478348984</c:v>
                </c:pt>
                <c:pt idx="26">
                  <c:v>70.31195068824729</c:v>
                </c:pt>
                <c:pt idx="27">
                  <c:v>70.473462143238</c:v>
                </c:pt>
                <c:pt idx="28">
                  <c:v>70.6409826481521</c:v>
                </c:pt>
                <c:pt idx="29">
                  <c:v>70.8040877713141</c:v>
                </c:pt>
                <c:pt idx="30">
                  <c:v>70.959985235326</c:v>
                </c:pt>
                <c:pt idx="31">
                  <c:v>71.11730854166331</c:v>
                </c:pt>
                <c:pt idx="32">
                  <c:v>71.2695086741238</c:v>
                </c:pt>
                <c:pt idx="33">
                  <c:v>71.4350180290858</c:v>
                </c:pt>
                <c:pt idx="34">
                  <c:v>71.5808956263016</c:v>
                </c:pt>
                <c:pt idx="35">
                  <c:v>71.7273340288678</c:v>
                </c:pt>
                <c:pt idx="36">
                  <c:v>71.86445504387849</c:v>
                </c:pt>
                <c:pt idx="37">
                  <c:v>72.025086366008</c:v>
                </c:pt>
                <c:pt idx="38">
                  <c:v>72.1514086215643</c:v>
                </c:pt>
                <c:pt idx="39">
                  <c:v>72.3034262770626</c:v>
                </c:pt>
                <c:pt idx="40">
                  <c:v>72.4386031785092</c:v>
                </c:pt>
                <c:pt idx="41">
                  <c:v>72.5778745319456</c:v>
                </c:pt>
                <c:pt idx="42">
                  <c:v>72.71922784863629</c:v>
                </c:pt>
                <c:pt idx="43">
                  <c:v>72.86626431207161</c:v>
                </c:pt>
                <c:pt idx="44">
                  <c:v>73.00204071903239</c:v>
                </c:pt>
                <c:pt idx="45">
                  <c:v>73.14664454181241</c:v>
                </c:pt>
                <c:pt idx="46">
                  <c:v>73.2787137972597</c:v>
                </c:pt>
                <c:pt idx="47">
                  <c:v>73.4287134242807</c:v>
                </c:pt>
                <c:pt idx="48">
                  <c:v>73.5565962623711</c:v>
                </c:pt>
                <c:pt idx="49">
                  <c:v>73.6916144564578</c:v>
                </c:pt>
                <c:pt idx="50">
                  <c:v>73.8294983974824</c:v>
                </c:pt>
                <c:pt idx="51">
                  <c:v>73.9575376172879</c:v>
                </c:pt>
                <c:pt idx="52">
                  <c:v>74.07442388590241</c:v>
                </c:pt>
                <c:pt idx="53">
                  <c:v>74.1890479232967</c:v>
                </c:pt>
                <c:pt idx="54">
                  <c:v>74.32393241469821</c:v>
                </c:pt>
                <c:pt idx="55">
                  <c:v>74.44787292365091</c:v>
                </c:pt>
                <c:pt idx="56">
                  <c:v>74.5769813754893</c:v>
                </c:pt>
                <c:pt idx="57">
                  <c:v>74.6888003775052</c:v>
                </c:pt>
                <c:pt idx="58">
                  <c:v>74.79738309160381</c:v>
                </c:pt>
                <c:pt idx="59">
                  <c:v>74.9266439319929</c:v>
                </c:pt>
                <c:pt idx="60">
                  <c:v>75.0342583837097</c:v>
                </c:pt>
                <c:pt idx="61">
                  <c:v>75.15222930901371</c:v>
                </c:pt>
                <c:pt idx="62">
                  <c:v>75.2500279484252</c:v>
                </c:pt>
                <c:pt idx="63">
                  <c:v>75.35285607844099</c:v>
                </c:pt>
                <c:pt idx="64">
                  <c:v>75.44932633299049</c:v>
                </c:pt>
                <c:pt idx="65">
                  <c:v>75.54696744369841</c:v>
                </c:pt>
                <c:pt idx="66">
                  <c:v>75.63257288734459</c:v>
                </c:pt>
                <c:pt idx="67">
                  <c:v>75.731450349694</c:v>
                </c:pt>
                <c:pt idx="68">
                  <c:v>75.82582833860479</c:v>
                </c:pt>
                <c:pt idx="69">
                  <c:v>75.91580293444279</c:v>
                </c:pt>
                <c:pt idx="70">
                  <c:v>76.0034485260186</c:v>
                </c:pt>
                <c:pt idx="71">
                  <c:v>76.07990948470869</c:v>
                </c:pt>
                <c:pt idx="72">
                  <c:v>76.1653606419284</c:v>
                </c:pt>
                <c:pt idx="73">
                  <c:v>76.23615433601699</c:v>
                </c:pt>
                <c:pt idx="74">
                  <c:v>76.30986693796309</c:v>
                </c:pt>
                <c:pt idx="75">
                  <c:v>76.37415238121019</c:v>
                </c:pt>
                <c:pt idx="76">
                  <c:v>76.4428172707732</c:v>
                </c:pt>
                <c:pt idx="77">
                  <c:v>76.5061667418197</c:v>
                </c:pt>
                <c:pt idx="78">
                  <c:v>76.57031107849581</c:v>
                </c:pt>
                <c:pt idx="79">
                  <c:v>76.6208665430176</c:v>
                </c:pt>
                <c:pt idx="80">
                  <c:v>76.6668555747909</c:v>
                </c:pt>
                <c:pt idx="81">
                  <c:v>76.7098439280378</c:v>
                </c:pt>
                <c:pt idx="82">
                  <c:v>76.7549743598351</c:v>
                </c:pt>
                <c:pt idx="83">
                  <c:v>76.79710883192961</c:v>
                </c:pt>
                <c:pt idx="84">
                  <c:v>76.83376103935289</c:v>
                </c:pt>
                <c:pt idx="85">
                  <c:v>76.8683619746932</c:v>
                </c:pt>
                <c:pt idx="86">
                  <c:v>76.9048293805363</c:v>
                </c:pt>
                <c:pt idx="87">
                  <c:v>76.9408851119142</c:v>
                </c:pt>
                <c:pt idx="88">
                  <c:v>76.97531777431909</c:v>
                </c:pt>
                <c:pt idx="89">
                  <c:v>77.005643700115</c:v>
                </c:pt>
                <c:pt idx="90">
                  <c:v>77.02930000000001</c:v>
                </c:pt>
                <c:pt idx="91">
                  <c:v>77.02930000000001</c:v>
                </c:pt>
                <c:pt idx="92">
                  <c:v>77.02930000000001</c:v>
                </c:pt>
                <c:pt idx="93">
                  <c:v>77.02930000000001</c:v>
                </c:pt>
                <c:pt idx="94">
                  <c:v>77.02930000000001</c:v>
                </c:pt>
                <c:pt idx="95">
                  <c:v>77.02930000000001</c:v>
                </c:pt>
                <c:pt idx="96">
                  <c:v>77.02930000000001</c:v>
                </c:pt>
                <c:pt idx="97">
                  <c:v>77.02930000000001</c:v>
                </c:pt>
                <c:pt idx="98">
                  <c:v>77.02930000000001</c:v>
                </c:pt>
              </c:numCache>
            </c:numRef>
          </c:yVal>
        </c:ser>
        <c:ser>
          <c:idx val="6"/>
          <c:order val="6"/>
          <c:tx>
            <c:v>Double-up swap</c:v>
          </c:tx>
          <c:spPr>
            <a:ln w="28575">
              <a:solidFill>
                <a:srgbClr val="E87BA4"/>
              </a:solidFill>
              <a:prstDash val="solid"/>
            </a:ln>
          </c:spPr>
          <c:marker>
            <c:symbol val="none"/>
          </c:marker>
          <c:xVal>
            <c:numRef>
              <c:f>Distribution!$A$3:$A$101</c:f>
              <c:numCache>
                <c:formatCode>General</c:formatCode>
                <c:ptCount val="99"/>
                <c:pt idx="0">
                  <c:v>0.01</c:v>
                </c:pt>
                <c:pt idx="1">
                  <c:v>0.02</c:v>
                </c:pt>
                <c:pt idx="2">
                  <c:v>0.03</c:v>
                </c:pt>
                <c:pt idx="3">
                  <c:v>0.04</c:v>
                </c:pt>
                <c:pt idx="4">
                  <c:v>0.05</c:v>
                </c:pt>
                <c:pt idx="5">
                  <c:v>0.06</c:v>
                </c:pt>
                <c:pt idx="6">
                  <c:v>0.07000000000000001</c:v>
                </c:pt>
                <c:pt idx="7">
                  <c:v>0.08</c:v>
                </c:pt>
                <c:pt idx="8">
                  <c:v>0.09</c:v>
                </c:pt>
                <c:pt idx="9">
                  <c:v>0.1</c:v>
                </c:pt>
                <c:pt idx="10">
                  <c:v>0.11</c:v>
                </c:pt>
                <c:pt idx="11">
                  <c:v>0.12</c:v>
                </c:pt>
                <c:pt idx="12">
                  <c:v>0.13</c:v>
                </c:pt>
                <c:pt idx="13">
                  <c:v>0.14</c:v>
                </c:pt>
                <c:pt idx="14">
                  <c:v>0.15</c:v>
                </c:pt>
                <c:pt idx="15">
                  <c:v>0.16</c:v>
                </c:pt>
                <c:pt idx="16">
                  <c:v>0.17</c:v>
                </c:pt>
                <c:pt idx="17">
                  <c:v>0.18</c:v>
                </c:pt>
                <c:pt idx="18">
                  <c:v>0.19</c:v>
                </c:pt>
                <c:pt idx="19">
                  <c:v>0.2</c:v>
                </c:pt>
                <c:pt idx="20">
                  <c:v>0.21</c:v>
                </c:pt>
                <c:pt idx="21">
                  <c:v>0.22</c:v>
                </c:pt>
                <c:pt idx="22">
                  <c:v>0.23</c:v>
                </c:pt>
                <c:pt idx="23">
                  <c:v>0.24</c:v>
                </c:pt>
                <c:pt idx="24">
                  <c:v>0.25</c:v>
                </c:pt>
                <c:pt idx="25">
                  <c:v>0.26</c:v>
                </c:pt>
                <c:pt idx="26">
                  <c:v>0.27</c:v>
                </c:pt>
                <c:pt idx="27">
                  <c:v>0.28</c:v>
                </c:pt>
                <c:pt idx="28">
                  <c:v>0.29</c:v>
                </c:pt>
                <c:pt idx="29">
                  <c:v>0.3</c:v>
                </c:pt>
                <c:pt idx="30">
                  <c:v>0.31</c:v>
                </c:pt>
                <c:pt idx="31">
                  <c:v>0.32</c:v>
                </c:pt>
                <c:pt idx="32">
                  <c:v>0.33</c:v>
                </c:pt>
                <c:pt idx="33">
                  <c:v>0.34</c:v>
                </c:pt>
                <c:pt idx="34">
                  <c:v>0.35</c:v>
                </c:pt>
                <c:pt idx="35">
                  <c:v>0.36</c:v>
                </c:pt>
                <c:pt idx="36">
                  <c:v>0.37</c:v>
                </c:pt>
                <c:pt idx="37">
                  <c:v>0.38</c:v>
                </c:pt>
                <c:pt idx="38">
                  <c:v>0.39</c:v>
                </c:pt>
                <c:pt idx="39">
                  <c:v>0.4</c:v>
                </c:pt>
                <c:pt idx="40">
                  <c:v>0.41</c:v>
                </c:pt>
                <c:pt idx="41">
                  <c:v>0.42</c:v>
                </c:pt>
                <c:pt idx="42">
                  <c:v>0.43</c:v>
                </c:pt>
                <c:pt idx="43">
                  <c:v>0.44</c:v>
                </c:pt>
                <c:pt idx="44">
                  <c:v>0.45</c:v>
                </c:pt>
                <c:pt idx="45">
                  <c:v>0.46</c:v>
                </c:pt>
                <c:pt idx="46">
                  <c:v>0.47</c:v>
                </c:pt>
                <c:pt idx="47">
                  <c:v>0.48</c:v>
                </c:pt>
                <c:pt idx="48">
                  <c:v>0.49</c:v>
                </c:pt>
                <c:pt idx="49">
                  <c:v>0.5</c:v>
                </c:pt>
                <c:pt idx="50">
                  <c:v>0.51</c:v>
                </c:pt>
                <c:pt idx="51">
                  <c:v>0.52</c:v>
                </c:pt>
                <c:pt idx="52">
                  <c:v>0.53</c:v>
                </c:pt>
                <c:pt idx="53">
                  <c:v>0.54</c:v>
                </c:pt>
                <c:pt idx="54">
                  <c:v>0.55</c:v>
                </c:pt>
                <c:pt idx="55">
                  <c:v>0.5600000000000001</c:v>
                </c:pt>
                <c:pt idx="56">
                  <c:v>0.57</c:v>
                </c:pt>
                <c:pt idx="57">
                  <c:v>0.58</c:v>
                </c:pt>
                <c:pt idx="58">
                  <c:v>0.59</c:v>
                </c:pt>
                <c:pt idx="59">
                  <c:v>0.6</c:v>
                </c:pt>
                <c:pt idx="60">
                  <c:v>0.61</c:v>
                </c:pt>
                <c:pt idx="61">
                  <c:v>0.62</c:v>
                </c:pt>
                <c:pt idx="62">
                  <c:v>0.63</c:v>
                </c:pt>
                <c:pt idx="63">
                  <c:v>0.64</c:v>
                </c:pt>
                <c:pt idx="64">
                  <c:v>0.65</c:v>
                </c:pt>
                <c:pt idx="65">
                  <c:v>0.66</c:v>
                </c:pt>
                <c:pt idx="66">
                  <c:v>0.67</c:v>
                </c:pt>
                <c:pt idx="67">
                  <c:v>0.68</c:v>
                </c:pt>
                <c:pt idx="68">
                  <c:v>0.6899999999999999</c:v>
                </c:pt>
                <c:pt idx="69">
                  <c:v>0.7</c:v>
                </c:pt>
                <c:pt idx="70">
                  <c:v>0.71</c:v>
                </c:pt>
                <c:pt idx="71">
                  <c:v>0.72</c:v>
                </c:pt>
                <c:pt idx="72">
                  <c:v>0.73</c:v>
                </c:pt>
                <c:pt idx="73">
                  <c:v>0.74</c:v>
                </c:pt>
                <c:pt idx="74">
                  <c:v>0.75</c:v>
                </c:pt>
                <c:pt idx="75">
                  <c:v>0.76</c:v>
                </c:pt>
                <c:pt idx="76">
                  <c:v>0.77</c:v>
                </c:pt>
                <c:pt idx="77">
                  <c:v>0.78</c:v>
                </c:pt>
                <c:pt idx="78">
                  <c:v>0.79</c:v>
                </c:pt>
                <c:pt idx="79">
                  <c:v>0.8</c:v>
                </c:pt>
                <c:pt idx="80">
                  <c:v>0.8100000000000001</c:v>
                </c:pt>
                <c:pt idx="81">
                  <c:v>0.82</c:v>
                </c:pt>
                <c:pt idx="82">
                  <c:v>0.83</c:v>
                </c:pt>
                <c:pt idx="83">
                  <c:v>0.84</c:v>
                </c:pt>
                <c:pt idx="84">
                  <c:v>0.85</c:v>
                </c:pt>
                <c:pt idx="85">
                  <c:v>0.86</c:v>
                </c:pt>
                <c:pt idx="86">
                  <c:v>0.87</c:v>
                </c:pt>
                <c:pt idx="87">
                  <c:v>0.88</c:v>
                </c:pt>
                <c:pt idx="88">
                  <c:v>0.89</c:v>
                </c:pt>
                <c:pt idx="89">
                  <c:v>0.9</c:v>
                </c:pt>
                <c:pt idx="90">
                  <c:v>0.91</c:v>
                </c:pt>
                <c:pt idx="91">
                  <c:v>0.92</c:v>
                </c:pt>
                <c:pt idx="92">
                  <c:v>0.93</c:v>
                </c:pt>
                <c:pt idx="93">
                  <c:v>0.9399999999999999</c:v>
                </c:pt>
                <c:pt idx="94">
                  <c:v>0.95</c:v>
                </c:pt>
                <c:pt idx="95">
                  <c:v>0.96</c:v>
                </c:pt>
                <c:pt idx="96">
                  <c:v>0.97</c:v>
                </c:pt>
                <c:pt idx="97">
                  <c:v>0.98</c:v>
                </c:pt>
                <c:pt idx="98">
                  <c:v>0.99</c:v>
                </c:pt>
              </c:numCache>
            </c:numRef>
          </c:xVal>
          <c:yVal>
            <c:numRef>
              <c:f>Distribution!$H$3:$H$101</c:f>
              <c:numCache>
                <c:formatCode>General</c:formatCode>
                <c:ptCount val="99"/>
                <c:pt idx="0">
                  <c:v>68.4311</c:v>
                </c:pt>
                <c:pt idx="1">
                  <c:v>68.4311</c:v>
                </c:pt>
                <c:pt idx="2">
                  <c:v>68.4311</c:v>
                </c:pt>
                <c:pt idx="3">
                  <c:v>68.4311</c:v>
                </c:pt>
                <c:pt idx="4">
                  <c:v>68.4311</c:v>
                </c:pt>
                <c:pt idx="5">
                  <c:v>68.4311</c:v>
                </c:pt>
                <c:pt idx="6">
                  <c:v>68.4311</c:v>
                </c:pt>
                <c:pt idx="7">
                  <c:v>68.4311</c:v>
                </c:pt>
                <c:pt idx="8">
                  <c:v>68.4311</c:v>
                </c:pt>
                <c:pt idx="9">
                  <c:v>68.4311</c:v>
                </c:pt>
                <c:pt idx="10">
                  <c:v>68.4311</c:v>
                </c:pt>
                <c:pt idx="11">
                  <c:v>68.4311</c:v>
                </c:pt>
                <c:pt idx="12">
                  <c:v>68.4311</c:v>
                </c:pt>
                <c:pt idx="13">
                  <c:v>68.4311</c:v>
                </c:pt>
                <c:pt idx="14">
                  <c:v>68.4311</c:v>
                </c:pt>
                <c:pt idx="15">
                  <c:v>68.4311</c:v>
                </c:pt>
                <c:pt idx="16">
                  <c:v>68.4311</c:v>
                </c:pt>
                <c:pt idx="17">
                  <c:v>68.4311</c:v>
                </c:pt>
                <c:pt idx="18">
                  <c:v>68.4311</c:v>
                </c:pt>
                <c:pt idx="19">
                  <c:v>68.4311</c:v>
                </c:pt>
                <c:pt idx="20">
                  <c:v>68.4311</c:v>
                </c:pt>
                <c:pt idx="21">
                  <c:v>68.4311</c:v>
                </c:pt>
                <c:pt idx="22">
                  <c:v>68.4311</c:v>
                </c:pt>
                <c:pt idx="23">
                  <c:v>68.4311</c:v>
                </c:pt>
                <c:pt idx="24">
                  <c:v>68.4311</c:v>
                </c:pt>
                <c:pt idx="25">
                  <c:v>68.4311</c:v>
                </c:pt>
                <c:pt idx="26">
                  <c:v>68.4311</c:v>
                </c:pt>
                <c:pt idx="27">
                  <c:v>68.4311</c:v>
                </c:pt>
                <c:pt idx="28">
                  <c:v>68.4574269905234</c:v>
                </c:pt>
                <c:pt idx="29">
                  <c:v>68.4905305203211</c:v>
                </c:pt>
                <c:pt idx="30">
                  <c:v>68.5257100492087</c:v>
                </c:pt>
                <c:pt idx="31">
                  <c:v>68.5593002935792</c:v>
                </c:pt>
                <c:pt idx="32">
                  <c:v>68.59204740950349</c:v>
                </c:pt>
                <c:pt idx="33">
                  <c:v>68.63627590630909</c:v>
                </c:pt>
                <c:pt idx="34">
                  <c:v>68.6799131015362</c:v>
                </c:pt>
                <c:pt idx="35">
                  <c:v>68.7312969408739</c:v>
                </c:pt>
                <c:pt idx="36">
                  <c:v>68.79055645438</c:v>
                </c:pt>
                <c:pt idx="37">
                  <c:v>68.84476501161809</c:v>
                </c:pt>
                <c:pt idx="38">
                  <c:v>68.90576366061271</c:v>
                </c:pt>
                <c:pt idx="39">
                  <c:v>68.9723476261681</c:v>
                </c:pt>
                <c:pt idx="40">
                  <c:v>69.0442566518222</c:v>
                </c:pt>
                <c:pt idx="41">
                  <c:v>69.1309762445678</c:v>
                </c:pt>
                <c:pt idx="42">
                  <c:v>69.219427259093</c:v>
                </c:pt>
                <c:pt idx="43">
                  <c:v>69.3080841267812</c:v>
                </c:pt>
                <c:pt idx="44">
                  <c:v>69.40917204899981</c:v>
                </c:pt>
                <c:pt idx="45">
                  <c:v>69.52357692196431</c:v>
                </c:pt>
                <c:pt idx="46">
                  <c:v>69.6235088346349</c:v>
                </c:pt>
                <c:pt idx="47">
                  <c:v>69.7330802467618</c:v>
                </c:pt>
                <c:pt idx="48">
                  <c:v>69.84892078467099</c:v>
                </c:pt>
                <c:pt idx="49">
                  <c:v>69.9536029567021</c:v>
                </c:pt>
                <c:pt idx="50">
                  <c:v>70.0650320317411</c:v>
                </c:pt>
                <c:pt idx="51">
                  <c:v>70.1934911645513</c:v>
                </c:pt>
                <c:pt idx="52">
                  <c:v>70.3352255447158</c:v>
                </c:pt>
                <c:pt idx="53">
                  <c:v>70.4601794302137</c:v>
                </c:pt>
                <c:pt idx="54">
                  <c:v>70.6382598727247</c:v>
                </c:pt>
                <c:pt idx="55">
                  <c:v>70.8027928857547</c:v>
                </c:pt>
                <c:pt idx="56">
                  <c:v>70.9793727966029</c:v>
                </c:pt>
                <c:pt idx="57">
                  <c:v>71.15178790039541</c:v>
                </c:pt>
                <c:pt idx="58">
                  <c:v>71.322331769073</c:v>
                </c:pt>
                <c:pt idx="59">
                  <c:v>71.5177809751892</c:v>
                </c:pt>
                <c:pt idx="60">
                  <c:v>71.71587949561579</c:v>
                </c:pt>
                <c:pt idx="61">
                  <c:v>71.9179157084083</c:v>
                </c:pt>
                <c:pt idx="62">
                  <c:v>72.12021959292321</c:v>
                </c:pt>
                <c:pt idx="63">
                  <c:v>72.30738150377179</c:v>
                </c:pt>
                <c:pt idx="64">
                  <c:v>72.51419707574421</c:v>
                </c:pt>
                <c:pt idx="65">
                  <c:v>72.7309571972515</c:v>
                </c:pt>
                <c:pt idx="66">
                  <c:v>72.9323138685989</c:v>
                </c:pt>
                <c:pt idx="67">
                  <c:v>73.19266306495081</c:v>
                </c:pt>
                <c:pt idx="68">
                  <c:v>73.4373981885375</c:v>
                </c:pt>
                <c:pt idx="69">
                  <c:v>73.6939416999052</c:v>
                </c:pt>
                <c:pt idx="70">
                  <c:v>73.9796032539801</c:v>
                </c:pt>
                <c:pt idx="71">
                  <c:v>74.2383949305955</c:v>
                </c:pt>
                <c:pt idx="72">
                  <c:v>74.4881638567055</c:v>
                </c:pt>
                <c:pt idx="73">
                  <c:v>74.7728079330095</c:v>
                </c:pt>
                <c:pt idx="74">
                  <c:v>75.0304936356267</c:v>
                </c:pt>
                <c:pt idx="75">
                  <c:v>75.32971845808569</c:v>
                </c:pt>
                <c:pt idx="76">
                  <c:v>75.6083201782549</c:v>
                </c:pt>
                <c:pt idx="77">
                  <c:v>75.9335602320857</c:v>
                </c:pt>
                <c:pt idx="78">
                  <c:v>76.2654680745532</c:v>
                </c:pt>
                <c:pt idx="79">
                  <c:v>76.6307987362665</c:v>
                </c:pt>
                <c:pt idx="80">
                  <c:v>76.9543849752218</c:v>
                </c:pt>
                <c:pt idx="81">
                  <c:v>77.31179218595101</c:v>
                </c:pt>
                <c:pt idx="82">
                  <c:v>77.69091347600271</c:v>
                </c:pt>
                <c:pt idx="83">
                  <c:v>78.06821365187351</c:v>
                </c:pt>
                <c:pt idx="84">
                  <c:v>78.55398637946909</c:v>
                </c:pt>
                <c:pt idx="85">
                  <c:v>78.90866061665351</c:v>
                </c:pt>
                <c:pt idx="86">
                  <c:v>79.3509192293608</c:v>
                </c:pt>
                <c:pt idx="87">
                  <c:v>79.839917701565</c:v>
                </c:pt>
                <c:pt idx="88">
                  <c:v>80.3679974999545</c:v>
                </c:pt>
                <c:pt idx="89">
                  <c:v>80.918582417727</c:v>
                </c:pt>
                <c:pt idx="90">
                  <c:v>81.4225893714096</c:v>
                </c:pt>
                <c:pt idx="91">
                  <c:v>82.0316030630584</c:v>
                </c:pt>
                <c:pt idx="92">
                  <c:v>82.7785160255301</c:v>
                </c:pt>
                <c:pt idx="93">
                  <c:v>83.5135990824991</c:v>
                </c:pt>
                <c:pt idx="94">
                  <c:v>84.3944099009321</c:v>
                </c:pt>
                <c:pt idx="95">
                  <c:v>85.2610312527991</c:v>
                </c:pt>
                <c:pt idx="96">
                  <c:v>86.4691106620608</c:v>
                </c:pt>
                <c:pt idx="97">
                  <c:v>88.1344270676895</c:v>
                </c:pt>
                <c:pt idx="98">
                  <c:v>90.38701571719059</c:v>
                </c:pt>
              </c:numCache>
            </c:numRef>
          </c:yVal>
        </c:ser>
        <c:axId val="50020001"/>
        <c:axId val="50020002"/>
      </c:scatterChart>
      <c:valAx>
        <c:axId val="50020001"/>
        <c:scaling>
          <c:orientation val="minMax"/>
          <c:max val="1"/>
          <c:min val="0"/>
        </c:scaling>
        <c:axPos val="b"/>
        <c:title>
          <c:tx>
            <c:rich>
              <a:bodyPr/>
              <a:lstStyle/>
              <a:p>
                <a:pPr>
                  <a:defRPr/>
                </a:pPr>
                <a:r>
                  <a:rPr lang="en-US"/>
                  <a:t>Percentile of scenarios (best to worst)</a:t>
                </a:r>
              </a:p>
            </c:rich>
          </c:tx>
          <c:layout/>
        </c:title>
        <c:numFmt formatCode="0%" sourceLinked="0"/>
        <c:tickLblPos val="nextTo"/>
        <c:crossAx val="50020002"/>
        <c:crosses val="autoZero"/>
        <c:crossBetween val="midCat"/>
      </c:valAx>
      <c:valAx>
        <c:axId val="50020002"/>
        <c:scaling>
          <c:orientation val="minMax"/>
          <c:max val="115"/>
          <c:min val="45"/>
        </c:scaling>
        <c:axPos val="l"/>
        <c:majorGridlines>
          <c:spPr>
            <a:ln>
              <a:solidFill>
                <a:srgbClr val="E6E6E6"/>
              </a:solidFill>
            </a:ln>
          </c:spPr>
        </c:majorGridlines>
        <c:title>
          <c:tx>
            <c:rich>
              <a:bodyPr rot="-5400000" vert="horz"/>
              <a:lstStyle/>
              <a:p>
                <a:pPr>
                  <a:defRPr/>
                </a:pPr>
                <a:r>
                  <a:rPr lang="en-US"/>
                  <a:t>Achieved average price (USD/bbl)</a:t>
                </a:r>
              </a:p>
            </c:rich>
          </c:tx>
          <c:layout/>
        </c:title>
        <c:numFmt formatCode="0" sourceLinked="0"/>
        <c:tickLblPos val="nextTo"/>
        <c:crossAx val="50020001"/>
        <c:crosses val="autoZero"/>
        <c:crossBetween val="midCat"/>
      </c:valAx>
    </c:plotArea>
    <c:legend>
      <c:legendPos val="b"/>
      <c:layout/>
    </c:legend>
    <c:plotVisOnly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baseline="0"/>
            </a:pPr>
            <a:r>
              <a:rPr lang="en-US" sz="1200" b="1" baseline="0"/>
              <a:t>Implied volatility smile</a:t>
            </a:r>
          </a:p>
        </c:rich>
      </c:tx>
      <c:layout/>
    </c:title>
    <c:plotArea>
      <c:layout/>
      <c:scatterChart>
        <c:scatterStyle val="smoothMarker"/>
        <c:ser>
          <c:idx val="0"/>
          <c:order val="0"/>
          <c:tx>
            <c:v>1M</c:v>
          </c:tx>
          <c:spPr>
            <a:ln w="25400">
              <a:solidFill>
                <a:srgbClr val="2A78D6"/>
              </a:solidFill>
            </a:ln>
          </c:spPr>
          <c:marker>
            <c:symbol val="none"/>
          </c:marker>
          <c:xVal>
            <c:numRef>
              <c:f>Market!$K$6:$K$26</c:f>
              <c:numCache>
                <c:formatCode>General</c:formatCode>
                <c:ptCount val="21"/>
                <c:pt idx="0">
                  <c:v>-0.3</c:v>
                </c:pt>
                <c:pt idx="1">
                  <c:v>-0.27</c:v>
                </c:pt>
                <c:pt idx="2">
                  <c:v>-0.24</c:v>
                </c:pt>
                <c:pt idx="3">
                  <c:v>-0.21</c:v>
                </c:pt>
                <c:pt idx="4">
                  <c:v>-0.18</c:v>
                </c:pt>
                <c:pt idx="5">
                  <c:v>-0.15</c:v>
                </c:pt>
                <c:pt idx="6">
                  <c:v>-0.12</c:v>
                </c:pt>
                <c:pt idx="7">
                  <c:v>-0.09</c:v>
                </c:pt>
                <c:pt idx="8">
                  <c:v>-0.06</c:v>
                </c:pt>
                <c:pt idx="9">
                  <c:v>-0.02999999999999997</c:v>
                </c:pt>
                <c:pt idx="10">
                  <c:v>0</c:v>
                </c:pt>
                <c:pt idx="11">
                  <c:v>0.02999999999999997</c:v>
                </c:pt>
                <c:pt idx="12">
                  <c:v>0.06</c:v>
                </c:pt>
                <c:pt idx="13">
                  <c:v>0.09000000000000002</c:v>
                </c:pt>
                <c:pt idx="14">
                  <c:v>0.12</c:v>
                </c:pt>
                <c:pt idx="15">
                  <c:v>0.15</c:v>
                </c:pt>
                <c:pt idx="16">
                  <c:v>0.18</c:v>
                </c:pt>
                <c:pt idx="17">
                  <c:v>0.21</c:v>
                </c:pt>
                <c:pt idx="18">
                  <c:v>0.24</c:v>
                </c:pt>
                <c:pt idx="19">
                  <c:v>0.27</c:v>
                </c:pt>
                <c:pt idx="20">
                  <c:v>0.3</c:v>
                </c:pt>
              </c:numCache>
            </c:numRef>
          </c:xVal>
          <c:yVal>
            <c:numRef>
              <c:f>Market!$L$6:$L$26</c:f>
              <c:numCache>
                <c:formatCode>General</c:formatCode>
                <c:ptCount val="21"/>
                <c:pt idx="0">
                  <c:v>38.38912</c:v>
                </c:pt>
                <c:pt idx="1">
                  <c:v>38.38912</c:v>
                </c:pt>
                <c:pt idx="2">
                  <c:v>38.38912</c:v>
                </c:pt>
                <c:pt idx="3">
                  <c:v>38.38912</c:v>
                </c:pt>
                <c:pt idx="4">
                  <c:v>38.2097915664834</c:v>
                </c:pt>
                <c:pt idx="5">
                  <c:v>37.7807789368954</c:v>
                </c:pt>
                <c:pt idx="6">
                  <c:v>37.1622123755777</c:v>
                </c:pt>
                <c:pt idx="7">
                  <c:v>36.3738152673973</c:v>
                </c:pt>
                <c:pt idx="8">
                  <c:v>35.4923202336846</c:v>
                </c:pt>
                <c:pt idx="9">
                  <c:v>34.6610155470985</c:v>
                </c:pt>
                <c:pt idx="10">
                  <c:v>34.0637410801991</c:v>
                </c:pt>
                <c:pt idx="11">
                  <c:v>33.8279122230834</c:v>
                </c:pt>
                <c:pt idx="12">
                  <c:v>33.9285073678538</c:v>
                </c:pt>
                <c:pt idx="13">
                  <c:v>34.2274875933266</c:v>
                </c:pt>
                <c:pt idx="14">
                  <c:v>34.5856056098477</c:v>
                </c:pt>
                <c:pt idx="15">
                  <c:v>34.916137319559</c:v>
                </c:pt>
                <c:pt idx="16">
                  <c:v>35.181524457891</c:v>
                </c:pt>
                <c:pt idx="17">
                  <c:v>35.3751987178396</c:v>
                </c:pt>
                <c:pt idx="18">
                  <c:v>35.5062676367392</c:v>
                </c:pt>
                <c:pt idx="19">
                  <c:v>35.50912</c:v>
                </c:pt>
                <c:pt idx="20">
                  <c:v>35.50912</c:v>
                </c:pt>
              </c:numCache>
            </c:numRef>
          </c:yVal>
          <c:smooth val="1"/>
        </c:ser>
        <c:ser>
          <c:idx val="1"/>
          <c:order val="1"/>
          <c:tx>
            <c:v>6M</c:v>
          </c:tx>
          <c:spPr>
            <a:ln w="25400">
              <a:solidFill>
                <a:srgbClr val="EB6834"/>
              </a:solidFill>
            </a:ln>
          </c:spPr>
          <c:marker>
            <c:symbol val="none"/>
          </c:marker>
          <c:xVal>
            <c:numRef>
              <c:f>Market!$K$6:$K$26</c:f>
              <c:numCache>
                <c:formatCode>General</c:formatCode>
                <c:ptCount val="21"/>
                <c:pt idx="0">
                  <c:v>-0.3</c:v>
                </c:pt>
                <c:pt idx="1">
                  <c:v>-0.27</c:v>
                </c:pt>
                <c:pt idx="2">
                  <c:v>-0.24</c:v>
                </c:pt>
                <c:pt idx="3">
                  <c:v>-0.21</c:v>
                </c:pt>
                <c:pt idx="4">
                  <c:v>-0.18</c:v>
                </c:pt>
                <c:pt idx="5">
                  <c:v>-0.15</c:v>
                </c:pt>
                <c:pt idx="6">
                  <c:v>-0.12</c:v>
                </c:pt>
                <c:pt idx="7">
                  <c:v>-0.09</c:v>
                </c:pt>
                <c:pt idx="8">
                  <c:v>-0.06</c:v>
                </c:pt>
                <c:pt idx="9">
                  <c:v>-0.02999999999999997</c:v>
                </c:pt>
                <c:pt idx="10">
                  <c:v>0</c:v>
                </c:pt>
                <c:pt idx="11">
                  <c:v>0.02999999999999997</c:v>
                </c:pt>
                <c:pt idx="12">
                  <c:v>0.06</c:v>
                </c:pt>
                <c:pt idx="13">
                  <c:v>0.09000000000000002</c:v>
                </c:pt>
                <c:pt idx="14">
                  <c:v>0.12</c:v>
                </c:pt>
                <c:pt idx="15">
                  <c:v>0.15</c:v>
                </c:pt>
                <c:pt idx="16">
                  <c:v>0.18</c:v>
                </c:pt>
                <c:pt idx="17">
                  <c:v>0.21</c:v>
                </c:pt>
                <c:pt idx="18">
                  <c:v>0.24</c:v>
                </c:pt>
                <c:pt idx="19">
                  <c:v>0.27</c:v>
                </c:pt>
                <c:pt idx="20">
                  <c:v>0.3</c:v>
                </c:pt>
              </c:numCache>
            </c:numRef>
          </c:xVal>
          <c:yVal>
            <c:numRef>
              <c:f>Market!$M$6:$M$26</c:f>
              <c:numCache>
                <c:formatCode>General</c:formatCode>
                <c:ptCount val="21"/>
                <c:pt idx="0">
                  <c:v>34.8986846802021</c:v>
                </c:pt>
                <c:pt idx="1">
                  <c:v>34.5633673657917</c:v>
                </c:pt>
                <c:pt idx="2">
                  <c:v>34.1765815110418</c:v>
                </c:pt>
                <c:pt idx="3">
                  <c:v>33.7450679835024</c:v>
                </c:pt>
                <c:pt idx="4">
                  <c:v>33.2787751109046</c:v>
                </c:pt>
                <c:pt idx="5">
                  <c:v>32.7909340411858</c:v>
                </c:pt>
                <c:pt idx="6">
                  <c:v>32.298066134915</c:v>
                </c:pt>
                <c:pt idx="7">
                  <c:v>31.819671134193</c:v>
                </c:pt>
                <c:pt idx="8">
                  <c:v>31.3772163808443</c:v>
                </c:pt>
                <c:pt idx="9">
                  <c:v>30.9920658939435</c:v>
                </c:pt>
                <c:pt idx="10">
                  <c:v>30.6823547890372</c:v>
                </c:pt>
                <c:pt idx="11">
                  <c:v>30.4595695244823</c:v>
                </c:pt>
                <c:pt idx="12">
                  <c:v>30.3262640989604</c:v>
                </c:pt>
                <c:pt idx="13">
                  <c:v>30.2761168082791</c:v>
                </c:pt>
                <c:pt idx="14">
                  <c:v>30.2962894108141</c:v>
                </c:pt>
                <c:pt idx="15">
                  <c:v>30.3708373529842</c:v>
                </c:pt>
                <c:pt idx="16">
                  <c:v>30.4837454869532</c:v>
                </c:pt>
                <c:pt idx="17">
                  <c:v>30.6208533192594</c:v>
                </c:pt>
                <c:pt idx="18">
                  <c:v>30.7706756947482</c:v>
                </c:pt>
                <c:pt idx="19">
                  <c:v>30.9244734176858</c:v>
                </c:pt>
                <c:pt idx="20">
                  <c:v>31.0759417752742</c:v>
                </c:pt>
              </c:numCache>
            </c:numRef>
          </c:yVal>
          <c:smooth val="1"/>
        </c:ser>
        <c:ser>
          <c:idx val="2"/>
          <c:order val="2"/>
          <c:tx>
            <c:v>1Y</c:v>
          </c:tx>
          <c:spPr>
            <a:ln w="25400">
              <a:solidFill>
                <a:srgbClr val="1BAF7A"/>
              </a:solidFill>
            </a:ln>
          </c:spPr>
          <c:marker>
            <c:symbol val="none"/>
          </c:marker>
          <c:xVal>
            <c:numRef>
              <c:f>Market!$K$6:$K$26</c:f>
              <c:numCache>
                <c:formatCode>General</c:formatCode>
                <c:ptCount val="21"/>
                <c:pt idx="0">
                  <c:v>-0.3</c:v>
                </c:pt>
                <c:pt idx="1">
                  <c:v>-0.27</c:v>
                </c:pt>
                <c:pt idx="2">
                  <c:v>-0.24</c:v>
                </c:pt>
                <c:pt idx="3">
                  <c:v>-0.21</c:v>
                </c:pt>
                <c:pt idx="4">
                  <c:v>-0.18</c:v>
                </c:pt>
                <c:pt idx="5">
                  <c:v>-0.15</c:v>
                </c:pt>
                <c:pt idx="6">
                  <c:v>-0.12</c:v>
                </c:pt>
                <c:pt idx="7">
                  <c:v>-0.09</c:v>
                </c:pt>
                <c:pt idx="8">
                  <c:v>-0.06</c:v>
                </c:pt>
                <c:pt idx="9">
                  <c:v>-0.02999999999999997</c:v>
                </c:pt>
                <c:pt idx="10">
                  <c:v>0</c:v>
                </c:pt>
                <c:pt idx="11">
                  <c:v>0.02999999999999997</c:v>
                </c:pt>
                <c:pt idx="12">
                  <c:v>0.06</c:v>
                </c:pt>
                <c:pt idx="13">
                  <c:v>0.09000000000000002</c:v>
                </c:pt>
                <c:pt idx="14">
                  <c:v>0.12</c:v>
                </c:pt>
                <c:pt idx="15">
                  <c:v>0.15</c:v>
                </c:pt>
                <c:pt idx="16">
                  <c:v>0.18</c:v>
                </c:pt>
                <c:pt idx="17">
                  <c:v>0.21</c:v>
                </c:pt>
                <c:pt idx="18">
                  <c:v>0.24</c:v>
                </c:pt>
                <c:pt idx="19">
                  <c:v>0.27</c:v>
                </c:pt>
                <c:pt idx="20">
                  <c:v>0.3</c:v>
                </c:pt>
              </c:numCache>
            </c:numRef>
          </c:xVal>
          <c:yVal>
            <c:numRef>
              <c:f>Market!$N$6:$N$26</c:f>
              <c:numCache>
                <c:formatCode>General</c:formatCode>
                <c:ptCount val="21"/>
                <c:pt idx="0">
                  <c:v>32.5880886262592</c:v>
                </c:pt>
                <c:pt idx="1">
                  <c:v>32.2095422207173</c:v>
                </c:pt>
                <c:pt idx="2">
                  <c:v>31.8080451187155</c:v>
                </c:pt>
                <c:pt idx="3">
                  <c:v>31.3904316885386</c:v>
                </c:pt>
                <c:pt idx="4">
                  <c:v>30.9646159360269</c:v>
                </c:pt>
                <c:pt idx="5">
                  <c:v>30.5395653526347</c:v>
                </c:pt>
                <c:pt idx="6">
                  <c:v>30.1251799542154</c:v>
                </c:pt>
                <c:pt idx="7">
                  <c:v>29.7319954206137</c:v>
                </c:pt>
                <c:pt idx="8">
                  <c:v>29.370636285796</c:v>
                </c:pt>
                <c:pt idx="9">
                  <c:v>29.0509956688269</c:v>
                </c:pt>
                <c:pt idx="10">
                  <c:v>28.7812234739909</c:v>
                </c:pt>
                <c:pt idx="11">
                  <c:v>28.5667378563201</c:v>
                </c:pt>
                <c:pt idx="12">
                  <c:v>28.409556108916</c:v>
                </c:pt>
                <c:pt idx="13">
                  <c:v>28.3081854611465</c:v>
                </c:pt>
                <c:pt idx="14">
                  <c:v>28.2581182706506</c:v>
                </c:pt>
                <c:pt idx="15">
                  <c:v>28.252751392244</c:v>
                </c:pt>
                <c:pt idx="16">
                  <c:v>28.2844334604576</c:v>
                </c:pt>
                <c:pt idx="17">
                  <c:v>28.3453800471059</c:v>
                </c:pt>
                <c:pt idx="18">
                  <c:v>28.428320905346</c:v>
                </c:pt>
                <c:pt idx="19">
                  <c:v>28.5268651142057</c:v>
                </c:pt>
                <c:pt idx="20">
                  <c:v>28.6356406769149</c:v>
                </c:pt>
              </c:numCache>
            </c:numRef>
          </c:yVal>
          <c:smooth val="1"/>
        </c:ser>
        <c:axId val="50030001"/>
        <c:axId val="50030002"/>
      </c:scatterChart>
      <c:valAx>
        <c:axId val="50030001"/>
        <c:scaling>
          <c:orientation val="minMax"/>
          <c:max val="0.3"/>
          <c:min val="-0.3"/>
        </c:scaling>
        <c:axPos val="b"/>
        <c:title>
          <c:tx>
            <c:rich>
              <a:bodyPr/>
              <a:lstStyle/>
              <a:p>
                <a:pPr>
                  <a:defRPr/>
                </a:pPr>
                <a:r>
                  <a:rPr lang="en-US"/>
                  <a:t>strike / futures - 1</a:t>
                </a:r>
              </a:p>
            </c:rich>
          </c:tx>
          <c:layout/>
        </c:title>
        <c:numFmt formatCode="0%" sourceLinked="0"/>
        <c:tickLblPos val="nextTo"/>
        <c:crossAx val="50030002"/>
        <c:crosses val="autoZero"/>
        <c:crossBetween val="midCat"/>
      </c:valAx>
      <c:valAx>
        <c:axId val="50030002"/>
        <c:scaling>
          <c:orientation val="minMax"/>
          <c:max val="45"/>
          <c:min val="20"/>
        </c:scaling>
        <c:axPos val="l"/>
        <c:majorGridlines/>
        <c:title>
          <c:tx>
            <c:rich>
              <a:bodyPr rot="-5400000" vert="horz"/>
              <a:lstStyle/>
              <a:p>
                <a:pPr>
                  <a:defRPr/>
                </a:pPr>
                <a:r>
                  <a:rPr lang="en-US"/>
                  <a:t>implied vol (%)</a:t>
                </a:r>
              </a:p>
            </c:rich>
          </c:tx>
          <c:layout/>
        </c:title>
        <c:numFmt formatCode="0" sourceLinked="0"/>
        <c:tickLblPos val="nextTo"/>
        <c:crossAx val="50030001"/>
        <c:crossesAt val="-0.3"/>
        <c:crossBetween val="midCat"/>
      </c:valAx>
    </c:plotArea>
    <c:legend>
      <c:legendPos val="b"/>
      <c:layout/>
    </c:legend>
    <c:plotVisOnly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4</xdr:col>
      <xdr:colOff>0</xdr:colOff>
      <xdr:row>29</xdr:row>
      <xdr:rowOff>0</xdr:rowOff>
    </xdr:from>
    <xdr:to>
      <xdr:col>13</xdr:col>
      <xdr:colOff>123825</xdr:colOff>
      <xdr:row>51</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0</xdr:colOff>
      <xdr:row>1</xdr:row>
      <xdr:rowOff>0</xdr:rowOff>
    </xdr:from>
    <xdr:to>
      <xdr:col>22</xdr:col>
      <xdr:colOff>457200</xdr:colOff>
      <xdr:row>24</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22</xdr:row>
      <xdr:rowOff>0</xdr:rowOff>
    </xdr:from>
    <xdr:to>
      <xdr:col>7</xdr:col>
      <xdr:colOff>171450</xdr:colOff>
      <xdr:row>39</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sheetPr codeName="Sheet1">
    <pageSetUpPr fitToPage="1"/>
  </sheetPr>
  <dimension ref="B2:O28"/>
  <sheetViews>
    <sheetView showGridLines="0" tabSelected="1" workbookViewId="0"/>
  </sheetViews>
  <sheetFormatPr defaultRowHeight="15"/>
  <cols>
    <col min="1" max="1" width="2.7109375" customWidth="1"/>
    <col min="2" max="2" width="36.7109375" customWidth="1"/>
    <col min="3" max="3" width="25.7109375" customWidth="1"/>
    <col min="4" max="4" width="3.7109375" customWidth="1"/>
    <col min="5" max="5" width="30.7109375" customWidth="1"/>
    <col min="6" max="15" width="12.7109375" customWidth="1"/>
  </cols>
  <sheetData>
    <row r="2" spans="2:15">
      <c r="B2" s="1" t="s">
        <v>0</v>
      </c>
    </row>
    <row r="3" spans="2:15">
      <c r="B3" s="2" t="s">
        <v>1</v>
      </c>
    </row>
    <row r="5" spans="2:15">
      <c r="B5" s="3" t="s">
        <v>2</v>
      </c>
      <c r="C5" s="3"/>
    </row>
    <row r="6" spans="2:15">
      <c r="B6" s="4" t="s">
        <v>3</v>
      </c>
      <c r="C6" s="5" t="s">
        <v>4</v>
      </c>
    </row>
    <row r="7" spans="2:15">
      <c r="B7" s="4" t="s">
        <v>5</v>
      </c>
      <c r="C7" s="6">
        <v>100000</v>
      </c>
    </row>
    <row r="8" spans="2:15">
      <c r="B8" s="4" t="s">
        <v>6</v>
      </c>
      <c r="C8" s="6">
        <v>12</v>
      </c>
      <c r="E8" s="2" t="str">
        <f>IF(Phi=1,"Consumer (airline): a LOWER achieved price is better. Risk: Brent rises.","Producer: a HIGHER achieved price is better. Risk: Brent falls.")</f>
        <v>Consumer (airline): a LOWER achieved price is better. Risk: Brent rises.</v>
      </c>
      <c r="F8" s="2"/>
      <c r="G8" s="2"/>
      <c r="H8" s="2"/>
      <c r="I8" s="2"/>
      <c r="J8" s="2"/>
      <c r="K8" s="2"/>
      <c r="L8" s="2"/>
      <c r="M8" s="2"/>
      <c r="N8" s="2"/>
      <c r="O8" s="2"/>
    </row>
    <row r="9" spans="2:15">
      <c r="B9" s="4" t="s">
        <v>7</v>
      </c>
      <c r="C9" s="7">
        <v>75</v>
      </c>
    </row>
    <row r="10" spans="2:15">
      <c r="E10" s="2" t="s">
        <v>24</v>
      </c>
      <c r="F10" s="2"/>
      <c r="G10" s="2"/>
      <c r="H10" s="2"/>
      <c r="I10" s="2"/>
      <c r="J10" s="2"/>
      <c r="K10" s="2"/>
      <c r="L10" s="2"/>
      <c r="M10" s="2"/>
      <c r="N10" s="2"/>
      <c r="O10" s="2"/>
    </row>
    <row r="11" spans="2:15">
      <c r="B11" s="3" t="s">
        <v>8</v>
      </c>
      <c r="C11" s="3"/>
    </row>
    <row r="12" spans="2:15" ht="44" customHeight="1">
      <c r="B12" s="4" t="s">
        <v>9</v>
      </c>
      <c r="C12" s="7">
        <v>75</v>
      </c>
      <c r="E12" s="8" t="s">
        <v>25</v>
      </c>
      <c r="F12" s="8" t="s">
        <v>26</v>
      </c>
      <c r="G12" s="8" t="s">
        <v>27</v>
      </c>
      <c r="H12" s="8" t="s">
        <v>28</v>
      </c>
      <c r="I12" s="8" t="s">
        <v>29</v>
      </c>
      <c r="J12" s="8" t="s">
        <v>30</v>
      </c>
      <c r="K12" s="9" t="s">
        <v>31</v>
      </c>
      <c r="L12" s="9" t="s">
        <v>32</v>
      </c>
      <c r="M12" s="9" t="s">
        <v>33</v>
      </c>
      <c r="N12" s="9" t="s">
        <v>34</v>
      </c>
      <c r="O12" s="9" t="s">
        <v>35</v>
      </c>
    </row>
    <row r="13" spans="2:15">
      <c r="B13" s="4" t="s">
        <v>10</v>
      </c>
      <c r="C13" s="7">
        <v>0</v>
      </c>
      <c r="E13" s="10" t="s">
        <v>36</v>
      </c>
      <c r="F13" s="11"/>
      <c r="G13" s="11"/>
      <c r="H13" s="11"/>
      <c r="I13" s="12">
        <f>0</f>
        <v>0</v>
      </c>
      <c r="J13" s="12">
        <f>0</f>
        <v>0</v>
      </c>
      <c r="K13" s="13">
        <v>72.6860365965034</v>
      </c>
      <c r="L13" s="13">
        <v>97.2758028141206</v>
      </c>
      <c r="M13" s="13">
        <v>52.7956273109663</v>
      </c>
      <c r="N13" s="14">
        <v>0.39275</v>
      </c>
      <c r="O13" s="14">
        <v>0</v>
      </c>
    </row>
    <row r="14" spans="2:15">
      <c r="B14" s="4" t="s">
        <v>11</v>
      </c>
      <c r="C14" s="15">
        <f>CM_AVGFUT(NMonths)</f>
        <v>72.6958333333333</v>
      </c>
      <c r="E14" s="10" t="s">
        <v>37</v>
      </c>
      <c r="F14" s="15">
        <f>SUMPRODUCT(Schedule!$B$3:$B$26,Schedule!$H$3:$H$26)/NMonths</f>
        <v>72.6958333333333</v>
      </c>
      <c r="G14" s="11"/>
      <c r="H14" s="11"/>
      <c r="I14" s="12">
        <f>Schedule!I28</f>
        <v>0</v>
      </c>
      <c r="J14" s="12">
        <f>0</f>
        <v>0</v>
      </c>
      <c r="K14" s="13">
        <v>72.69583333331811</v>
      </c>
      <c r="L14" s="13">
        <v>72.6958333333334</v>
      </c>
      <c r="M14" s="13">
        <v>72.6958333333333</v>
      </c>
      <c r="N14" s="14">
        <v>0</v>
      </c>
      <c r="O14" s="14">
        <v>0</v>
      </c>
    </row>
    <row r="15" spans="2:15">
      <c r="B15" s="4" t="s">
        <v>12</v>
      </c>
      <c r="C15" s="15">
        <f>AvgFut-Front</f>
        <v>-2.30416666666667</v>
      </c>
      <c r="E15" s="10" t="s">
        <v>38</v>
      </c>
      <c r="F15" s="15">
        <f>Protect</f>
        <v>75</v>
      </c>
      <c r="G15" s="11"/>
      <c r="H15" s="11"/>
      <c r="I15" s="12">
        <f>Schedule!N28</f>
        <v>6021322.77496804</v>
      </c>
      <c r="J15" s="12">
        <f>Schedule!N28</f>
        <v>6021322.77496804</v>
      </c>
      <c r="K15" s="13">
        <v>72.6924583642579</v>
      </c>
      <c r="L15" s="13">
        <v>80.117499618506</v>
      </c>
      <c r="M15" s="13">
        <v>57.8593275645506</v>
      </c>
      <c r="N15" s="14">
        <v>0.49935</v>
      </c>
      <c r="O15" s="14">
        <v>0</v>
      </c>
    </row>
    <row r="16" spans="2:15">
      <c r="E16" s="10" t="s">
        <v>39</v>
      </c>
      <c r="F16" s="15">
        <f>Protect</f>
        <v>75</v>
      </c>
      <c r="G16" s="7">
        <v>70.48</v>
      </c>
      <c r="H16" s="11"/>
      <c r="I16" s="12">
        <f>Schedule!N28-Schedule!S28</f>
        <v>11.1760041331872</v>
      </c>
      <c r="J16" s="12">
        <f>0</f>
        <v>0</v>
      </c>
      <c r="K16" s="13">
        <v>72.59692249117759</v>
      </c>
      <c r="L16" s="13">
        <v>75</v>
      </c>
      <c r="M16" s="13">
        <v>70.48</v>
      </c>
      <c r="N16" s="14">
        <v>0</v>
      </c>
      <c r="O16" s="14">
        <v>0</v>
      </c>
    </row>
    <row r="17" spans="2:15">
      <c r="B17" s="3" t="s">
        <v>13</v>
      </c>
      <c r="C17" s="3"/>
      <c r="E17" s="10" t="s">
        <v>40</v>
      </c>
      <c r="F17" s="15">
        <f>Protect</f>
        <v>75</v>
      </c>
      <c r="G17" s="7">
        <v>66.5878</v>
      </c>
      <c r="H17" s="15">
        <f>Cap3</f>
        <v>90</v>
      </c>
      <c r="I17" s="12">
        <f>Schedule!N28-Schedule!X28-Schedule!AC28</f>
        <v>-11.2306139580905</v>
      </c>
      <c r="J17" s="12">
        <f>0</f>
        <v>0</v>
      </c>
      <c r="K17" s="13">
        <v>72.4545948009761</v>
      </c>
      <c r="L17" s="13">
        <v>84.1739382247555</v>
      </c>
      <c r="M17" s="13">
        <v>66.60573896472179</v>
      </c>
      <c r="N17" s="14">
        <v>0.21855</v>
      </c>
      <c r="O17" s="14">
        <v>0</v>
      </c>
    </row>
    <row r="18" spans="2:15">
      <c r="B18" s="4" t="s">
        <v>14</v>
      </c>
      <c r="C18" s="7">
        <v>75</v>
      </c>
      <c r="E18" s="10" t="s">
        <v>41</v>
      </c>
      <c r="F18" s="7">
        <v>77.02930000000001</v>
      </c>
      <c r="G18" s="16">
        <f>Participation</f>
        <v>0.5</v>
      </c>
      <c r="H18" s="11"/>
      <c r="I18" s="12">
        <f>Schedule!AI28</f>
        <v>21.0012809602304</v>
      </c>
      <c r="J18" s="12">
        <f>0</f>
        <v>0</v>
      </c>
      <c r="K18" s="13">
        <v>72.686617881939</v>
      </c>
      <c r="L18" s="13">
        <v>77.02930000000001</v>
      </c>
      <c r="M18" s="13">
        <v>64.8927209128817</v>
      </c>
      <c r="N18" s="14">
        <v>0.39275</v>
      </c>
      <c r="O18" s="14">
        <v>0</v>
      </c>
    </row>
    <row r="19" spans="2:15">
      <c r="B19" s="4" t="s">
        <v>15</v>
      </c>
      <c r="C19" s="7">
        <v>90</v>
      </c>
      <c r="E19" s="10" t="s">
        <v>42</v>
      </c>
      <c r="F19" s="7">
        <v>68.4311</v>
      </c>
      <c r="G19" s="17">
        <f>Leverage</f>
        <v>2</v>
      </c>
      <c r="H19" s="11"/>
      <c r="I19" s="12">
        <f>Schedule!AO28</f>
        <v>-27.6833620264661</v>
      </c>
      <c r="J19" s="12">
        <f>0</f>
        <v>0</v>
      </c>
      <c r="K19" s="13">
        <v>72.55319698678259</v>
      </c>
      <c r="L19" s="13">
        <v>84.3944099009321</v>
      </c>
      <c r="M19" s="13">
        <v>68.4311</v>
      </c>
      <c r="N19" s="14">
        <v>0.25105</v>
      </c>
      <c r="O19" s="14">
        <v>0.71935</v>
      </c>
    </row>
    <row r="20" spans="2:15">
      <c r="B20" s="4" t="s">
        <v>16</v>
      </c>
      <c r="C20" s="18">
        <v>0.5</v>
      </c>
    </row>
    <row r="21" spans="2:15">
      <c r="B21" s="4" t="s">
        <v>17</v>
      </c>
      <c r="C21" s="19">
        <v>2</v>
      </c>
      <c r="E21" s="2" t="s">
        <v>43</v>
      </c>
    </row>
    <row r="22" spans="2:15">
      <c r="B22" s="4" t="s">
        <v>18</v>
      </c>
      <c r="C22" s="7">
        <v>0</v>
      </c>
      <c r="E22" s="2" t="s">
        <v>44</v>
      </c>
    </row>
    <row r="24" spans="2:15">
      <c r="E24" s="3" t="s">
        <v>45</v>
      </c>
      <c r="F24" s="3"/>
    </row>
    <row r="25" spans="2:15">
      <c r="B25" s="3" t="s">
        <v>19</v>
      </c>
      <c r="C25" s="3"/>
      <c r="E25" s="4" t="s">
        <v>46</v>
      </c>
      <c r="F25" s="14">
        <v>0.71935</v>
      </c>
    </row>
    <row r="26" spans="2:15">
      <c r="B26" s="4" t="s">
        <v>20</v>
      </c>
      <c r="C26" s="6">
        <v>20000</v>
      </c>
      <c r="E26" s="4" t="s">
        <v>47</v>
      </c>
      <c r="F26" s="13">
        <v>4.92815</v>
      </c>
    </row>
    <row r="27" spans="2:15">
      <c r="B27" s="4" t="s">
        <v>21</v>
      </c>
      <c r="C27" s="6">
        <v>42</v>
      </c>
      <c r="E27" s="4" t="s">
        <v>48</v>
      </c>
      <c r="F27" s="14">
        <v>0.07605000000000001</v>
      </c>
    </row>
    <row r="28" spans="2:15">
      <c r="B28" s="4" t="s">
        <v>22</v>
      </c>
      <c r="C28" s="5" t="s">
        <v>23</v>
      </c>
      <c r="E28" s="4" t="s">
        <v>49</v>
      </c>
      <c r="F28" s="20">
        <v>492815</v>
      </c>
    </row>
  </sheetData>
  <mergeCells count="7">
    <mergeCell ref="B5:C5"/>
    <mergeCell ref="B11:C11"/>
    <mergeCell ref="B17:C17"/>
    <mergeCell ref="B25:C25"/>
    <mergeCell ref="E8:O8"/>
    <mergeCell ref="E10:O10"/>
    <mergeCell ref="E24:F24"/>
  </mergeCells>
  <dataValidations count="4">
    <dataValidation type="list" allowBlank="1" showInputMessage="1" showErrorMessage="1" sqref="C6">
      <formula1>"Consumer (buys fuel),Producer (sells oil)"</formula1>
    </dataValidation>
    <dataValidation type="whole" allowBlank="1" showInputMessage="1" showErrorMessage="1" sqref="C8">
      <formula1>1</formula1>
      <formula2>24</formula2>
    </dataValidation>
    <dataValidation type="list" allowBlank="1" showInputMessage="1" showErrorMessage="1" sqref="C21">
      <formula1>"1.5,2,3"</formula1>
    </dataValidation>
    <dataValidation type="list" allowBlank="1" showInputMessage="1" showErrorMessage="1" sqref="C28">
      <formula1>"Futures curve (market view),Front month unchanged"</formula1>
    </dataValidation>
  </dataValidations>
  <pageMargins left="0.4" right="0.4" top="0.5" bottom="0.5" header="0.3" footer="0.3"/>
  <pageSetup paperSize="9" orientation="landscape"/>
  <drawing r:id="rId1"/>
  <legacyDrawing r:id="rId2"/>
</worksheet>
</file>

<file path=xl/worksheets/sheet2.xml><?xml version="1.0" encoding="utf-8"?>
<worksheet xmlns="http://schemas.openxmlformats.org/spreadsheetml/2006/main" xmlns:r="http://schemas.openxmlformats.org/officeDocument/2006/relationships">
  <sheetPr codeName="Sheet2">
    <pageSetUpPr fitToPage="1"/>
  </sheetPr>
  <dimension ref="B2:B24"/>
  <sheetViews>
    <sheetView showGridLines="0" workbookViewId="0"/>
  </sheetViews>
  <sheetFormatPr defaultRowHeight="15"/>
  <cols>
    <col min="1" max="1" width="2.7109375" customWidth="1"/>
    <col min="2" max="2" width="110.7109375" customWidth="1"/>
  </cols>
  <sheetData>
    <row r="2" spans="2:2">
      <c r="B2" s="1" t="s">
        <v>100</v>
      </c>
    </row>
    <row r="3" spans="2:2">
      <c r="B3" s="2" t="s">
        <v>101</v>
      </c>
    </row>
    <row r="6" spans="2:2">
      <c r="B6" s="21" t="s">
        <v>102</v>
      </c>
    </row>
    <row r="7" spans="2:2" ht="34" customHeight="1">
      <c r="B7" s="22" t="str">
        <f>"You "&amp;IF(Phi=1,"buy","sell")&amp;" "&amp;TEXT(Volume,"#,##0")&amp;" barrels of fuel every month for "&amp;NMonths&amp;" months, i.e. "&amp;TEXT(TotalQ/1000000,"0.0")&amp;"m barrels. Your budget is USD "&amp;TEXT(Budget,"0.00")&amp;"/bbl in Brent terms. Brent is "&amp;TEXT(Front,"0.00")&amp;" and the average futures price over your fixings is "&amp;TEXT(AvgFut,"0.00")&amp;"."</f>
        <v>You buy 100,000 barrels of fuel every month for 12 months, i.e. 1.2m barrels. Your budget is USD 75.00/bbl in Brent terms. Brent is 75.00 and the average futures price over your fixings is 72.70.</v>
      </c>
    </row>
    <row r="8" spans="2:2" ht="34" customHeight="1">
      <c r="B8" s="22" t="str">
        <f>"Without a hedge, our simulations give a "&amp;TEXT(Pricer!N13,"0%")&amp;" chance of missing your budget. In the worst 5% of scenarios your average price would be USD "&amp;TEXT(Pricer!L13,"0.00")&amp;"/bbl."</f>
        <v>Without a hedge, our simulations give a 39% chance of missing your budget. In the worst 5% of scenarios your average price would be USD 97.28/bbl.</v>
      </c>
    </row>
    <row r="10" spans="2:2">
      <c r="B10" s="21" t="s">
        <v>103</v>
      </c>
    </row>
    <row r="11" spans="2:2" ht="34" customHeight="1">
      <c r="B11" s="22" t="str">
        <f>"1. Fixed-price swap: your price is locked today at USD "&amp;TEXT(Pricer!F14,"0.00")&amp;"/bbl, with no premium and no benefit if prices "&amp;IF(Phi=1,"fall","rise")&amp;"."</f>
        <v>1. Fixed-price swap: your price is locked today at USD 72.70/bbl, with no premium and no benefit if prices fall.</v>
      </c>
    </row>
    <row r="12" spans="2:2" ht="34" customHeight="1">
      <c r="B12" s="22" t="str">
        <f>"2. Zero-cost collar "&amp;TEXT(Pricer!F16,"0.00")&amp;" / "&amp;TEXT(Pricer!G16,"0.00")&amp;": your worst case is "&amp;TEXT(Pricer!F16,"0.00")&amp;" and you benefit if prices "&amp;IF(Phi=1,"fall","rise")&amp;", down to "&amp;TEXT(Pricer!G16,"0.00")&amp;". No premium."</f>
        <v>2. Zero-cost collar 75.00 / 70.48: your worst case is 75.00 and you benefit if prices fall, down to 70.48. No premium.</v>
      </c>
    </row>
    <row r="13" spans="2:2" ht="50" customHeight="1">
      <c r="B13" s="22" t="str">
        <f>"3. Three-way collar "&amp;TEXT(Pricer!G17,"0.00")&amp;" / "&amp;TEXT(Pricer!F17,"0.00")&amp;" / "&amp;TEXT(Pricer!H17,"0.00")&amp;": protected between "&amp;TEXT(Pricer!F17,"0.00")&amp;" and "&amp;TEXT(Pricer!H17,"0.00")&amp;", and you keep more of the benefit than with the collar (down to "&amp;TEXT(Pricer!G17,"0.00")&amp;"). Beyond "&amp;TEXT(Pricer!H17,"0.00")&amp;" you are no longer protected, but you still save "&amp;TEXT(ABS(Pricer!H17-Pricer!F17),"0.00")&amp;" per barrel. No premium."</f>
        <v>3. Three-way collar 66.59 / 75.00 / 90.00: protected between 75.00 and 90.00, and you keep more of the benefit than with the collar (down to 66.59). Beyond 90.00 you are no longer protected, but you still save 15.00 per barrel. No premium.</v>
      </c>
    </row>
    <row r="14" spans="2:2" ht="34" customHeight="1">
      <c r="B14" s="22" t="str">
        <f>"4. Call option (price cap) at "&amp;TEXT(Pricer!F15,"0.00")&amp;": full benefit if prices "&amp;IF(Phi=1,"fall","rise")&amp;", for a premium of USD "&amp;TEXT(Pricer!J15,"#,##0")&amp;" paid today (USD "&amp;TEXT(PremBbl,"0.00")&amp;"/bbl)."</f>
        <v>4. Call option (price cap) at 75.00: full benefit if prices fall, for a premium of USD 6,021,323 paid today (USD 5.12/bbl).</v>
      </c>
    </row>
    <row r="15" spans="2:2" ht="34" customHeight="1">
      <c r="B15" s="22" t="str">
        <f>"5. Participating swap at "&amp;TEXT(Pricer!F18,"0.00")&amp;": full protection at that price, and you keep "&amp;TEXT(Participation,"0%")&amp;" of any favourable move. No premium."</f>
        <v>5. Participating swap at 77.03: full protection at that price, and you keep 50% of any favourable move. No premium.</v>
      </c>
    </row>
    <row r="17" spans="2:2">
      <c r="B17" s="21" t="s">
        <v>104</v>
      </c>
    </row>
    <row r="18" spans="2:2" ht="50" customHeight="1">
      <c r="B18" s="22" t="str">
        <f>"Double-up swap at "&amp;TEXT(Pricer!F19,"0.00")&amp;", "&amp;TEXT(ABS(Pricer!F19-Pricer!F14),"0.00")&amp;" USD/bbl better than the swap. But on every fixing where the market is better than this price, you must "&amp;IF(Phi=1,"buy","sell")&amp;" "&amp;Leverage&amp;"x your volume at "&amp;TEXT(Pricer!F19,"0.00")&amp;". This happens at least once in "&amp;TEXT(Pricer!F25,"0%")&amp;" of our scenarios."</f>
        <v>Double-up swap at 68.43, 4.26 USD/bbl better than the swap. But on every fixing where the market is better than this price, you must buy 2x your volume at 68.43. This happens at least once in 72% of our scenarios.</v>
      </c>
    </row>
    <row r="20" spans="2:2">
      <c r="B20" s="21" t="s">
        <v>105</v>
      </c>
    </row>
    <row r="21" spans="2:2" ht="50" customHeight="1">
      <c r="B21" s="23" t="s">
        <v>106</v>
      </c>
    </row>
    <row r="23" spans="2:2">
      <c r="B23" s="21" t="s">
        <v>107</v>
      </c>
    </row>
    <row r="24" spans="2:2" ht="50" customHeight="1">
      <c r="B24" s="23" t="s">
        <v>108</v>
      </c>
    </row>
  </sheetData>
  <pageMargins left="0.4" right="0.4" top="0.5" bottom="0.5" header="0.3" footer="0.3"/>
  <pageSetup paperSize="9" orientation="portrait"/>
</worksheet>
</file>

<file path=xl/worksheets/sheet3.xml><?xml version="1.0" encoding="utf-8"?>
<worksheet xmlns="http://schemas.openxmlformats.org/spreadsheetml/2006/main" xmlns:r="http://schemas.openxmlformats.org/officeDocument/2006/relationships">
  <sheetPr codeName="Sheet3">
    <pageSetUpPr fitToPage="1"/>
  </sheetPr>
  <dimension ref="A1:AO30"/>
  <sheetViews>
    <sheetView showGridLines="0" workbookViewId="0">
      <pane xSplit="3" ySplit="2" topLeftCell="D3" activePane="bottomRight" state="frozen"/>
      <selection pane="topRight" activeCell="D1" sqref="D1"/>
      <selection pane="bottomLeft" activeCell="A3" sqref="A3"/>
      <selection pane="bottomRight"/>
    </sheetView>
  </sheetViews>
  <sheetFormatPr defaultRowHeight="15"/>
  <cols>
    <col min="1" max="3" width="8.7109375" customWidth="1"/>
    <col min="4" max="41" width="12.28515625" customWidth="1"/>
  </cols>
  <sheetData>
    <row r="1" spans="1:41">
      <c r="A1" s="21" t="s">
        <v>73</v>
      </c>
      <c r="J1" s="3" t="s">
        <v>67</v>
      </c>
      <c r="K1" s="3"/>
      <c r="L1" s="3"/>
      <c r="M1" s="3"/>
      <c r="N1" s="3"/>
      <c r="O1" s="3" t="s">
        <v>68</v>
      </c>
      <c r="P1" s="3"/>
      <c r="Q1" s="3"/>
      <c r="R1" s="3"/>
      <c r="S1" s="3"/>
      <c r="T1" s="3" t="s">
        <v>69</v>
      </c>
      <c r="U1" s="3"/>
      <c r="V1" s="3"/>
      <c r="W1" s="3"/>
      <c r="X1" s="3"/>
      <c r="Y1" s="3" t="s">
        <v>70</v>
      </c>
      <c r="Z1" s="3"/>
      <c r="AA1" s="3"/>
      <c r="AB1" s="3"/>
      <c r="AC1" s="3"/>
      <c r="AD1" s="3" t="s">
        <v>71</v>
      </c>
      <c r="AE1" s="3"/>
      <c r="AF1" s="3"/>
      <c r="AG1" s="3"/>
      <c r="AH1" s="3"/>
      <c r="AI1" s="3"/>
      <c r="AJ1" s="3" t="s">
        <v>72</v>
      </c>
      <c r="AK1" s="3"/>
      <c r="AL1" s="3"/>
      <c r="AM1" s="3"/>
      <c r="AN1" s="3"/>
      <c r="AO1" s="3"/>
    </row>
    <row r="2" spans="1:41" ht="30" customHeight="1">
      <c r="A2" s="8" t="s">
        <v>51</v>
      </c>
      <c r="B2" s="8" t="s">
        <v>52</v>
      </c>
      <c r="C2" s="8" t="s">
        <v>53</v>
      </c>
      <c r="D2" s="8" t="s">
        <v>54</v>
      </c>
      <c r="E2" s="8" t="s">
        <v>55</v>
      </c>
      <c r="F2" s="8" t="s">
        <v>56</v>
      </c>
      <c r="G2" s="8" t="s">
        <v>57</v>
      </c>
      <c r="H2" s="8" t="s">
        <v>58</v>
      </c>
      <c r="I2" s="8" t="s">
        <v>59</v>
      </c>
      <c r="J2" s="8" t="s">
        <v>60</v>
      </c>
      <c r="K2" s="8" t="s">
        <v>61</v>
      </c>
      <c r="L2" s="8" t="s">
        <v>62</v>
      </c>
      <c r="M2" s="8" t="s">
        <v>63</v>
      </c>
      <c r="N2" s="8" t="s">
        <v>64</v>
      </c>
      <c r="O2" s="8" t="s">
        <v>60</v>
      </c>
      <c r="P2" s="8" t="s">
        <v>61</v>
      </c>
      <c r="Q2" s="8" t="s">
        <v>62</v>
      </c>
      <c r="R2" s="8" t="s">
        <v>63</v>
      </c>
      <c r="S2" s="8" t="s">
        <v>64</v>
      </c>
      <c r="T2" s="8" t="s">
        <v>60</v>
      </c>
      <c r="U2" s="8" t="s">
        <v>61</v>
      </c>
      <c r="V2" s="8" t="s">
        <v>62</v>
      </c>
      <c r="W2" s="8" t="s">
        <v>63</v>
      </c>
      <c r="X2" s="8" t="s">
        <v>64</v>
      </c>
      <c r="Y2" s="8" t="s">
        <v>60</v>
      </c>
      <c r="Z2" s="8" t="s">
        <v>61</v>
      </c>
      <c r="AA2" s="8" t="s">
        <v>62</v>
      </c>
      <c r="AB2" s="8" t="s">
        <v>63</v>
      </c>
      <c r="AC2" s="8" t="s">
        <v>64</v>
      </c>
      <c r="AD2" s="8" t="s">
        <v>60</v>
      </c>
      <c r="AE2" s="8" t="s">
        <v>61</v>
      </c>
      <c r="AF2" s="8" t="s">
        <v>62</v>
      </c>
      <c r="AG2" s="8" t="s">
        <v>65</v>
      </c>
      <c r="AH2" s="8" t="s">
        <v>66</v>
      </c>
      <c r="AI2" s="8" t="s">
        <v>64</v>
      </c>
      <c r="AJ2" s="8" t="s">
        <v>60</v>
      </c>
      <c r="AK2" s="8" t="s">
        <v>61</v>
      </c>
      <c r="AL2" s="8" t="s">
        <v>62</v>
      </c>
      <c r="AM2" s="8" t="s">
        <v>65</v>
      </c>
      <c r="AN2" s="8" t="s">
        <v>66</v>
      </c>
      <c r="AO2" s="8" t="s">
        <v>64</v>
      </c>
    </row>
    <row r="3" spans="1:41">
      <c r="A3" s="24">
        <f>ROW()-2</f>
        <v>1</v>
      </c>
      <c r="B3" s="24">
        <f>IF(A3&lt;=NMonths,1,0)</f>
        <v>1</v>
      </c>
      <c r="C3" s="25">
        <f>A3/12</f>
        <v>0.0833333333333333</v>
      </c>
      <c r="D3" s="26">
        <f>CM_FUTURE(C3)</f>
        <v>75</v>
      </c>
      <c r="E3" s="26">
        <f>D3-Front</f>
        <v>0</v>
      </c>
      <c r="F3" s="27">
        <f>CM_DF(C3)</f>
        <v>0.996838341933971</v>
      </c>
      <c r="G3" s="28">
        <f>-LN(F3)/C3</f>
        <v>0.0380000000000001</v>
      </c>
      <c r="H3" s="26">
        <f>D3+Phi*MarginUSD</f>
        <v>75</v>
      </c>
      <c r="I3" s="29">
        <f>B3*Volume*F3*Phi*(D3-H3)</f>
        <v>0</v>
      </c>
      <c r="J3" s="28">
        <f>CM_VOL(Protect,C3)</f>
        <v>0.340637410801991</v>
      </c>
      <c r="K3" s="25">
        <f>(LN(D3/Protect)+J3^2/2*C3)/(J3*SQRT(C3))</f>
        <v>0.0491667752056467</v>
      </c>
      <c r="L3" s="25">
        <f>K3-J3*SQRT(C3)</f>
        <v>-0.0491667752056467</v>
      </c>
      <c r="M3" s="25">
        <f>IF(Phi=1,F3*(D3*NORMSDIST(K3)-Protect*NORMSDIST(L3)),F3*(Protect*NORMSDIST(-L3)-D3*NORMSDIST(-K3)))</f>
        <v>2.93172233963523</v>
      </c>
      <c r="N3" s="29">
        <f>B3*Volume*M3</f>
        <v>293172.233963523</v>
      </c>
      <c r="O3" s="28">
        <f>CM_VOL(Giveup,C3)</f>
        <v>0.355001940340102</v>
      </c>
      <c r="P3" s="25">
        <f>(LN(D3/Giveup)+O3^2/2*C3)/(O3*SQRT(C3))</f>
        <v>0.657787644147254</v>
      </c>
      <c r="Q3" s="25">
        <f>P3-O3*SQRT(C3)</f>
        <v>0.555307411238155</v>
      </c>
      <c r="R3" s="25">
        <f>IF(Phi=-1,F3*(D3*NORMSDIST(P3)-Giveup*NORMSDIST(Q3)),F3*(Giveup*NORMSDIST(-Q3)-D3*NORMSDIST(-P3)))</f>
        <v>1.23861282034487</v>
      </c>
      <c r="S3" s="29">
        <f>B3*Volume*R3</f>
        <v>123861.282034487</v>
      </c>
      <c r="T3" s="28">
        <f>CM_VOL(Cap3,C3)</f>
        <v>0.353182380093696</v>
      </c>
      <c r="U3" s="25">
        <f>(LN(D3/Cap3)+T3^2/2*C3)/(T3*SQRT(C3))</f>
        <v>-1.73727820035097</v>
      </c>
      <c r="V3" s="25">
        <f>U3-T3*SQRT(C3)</f>
        <v>-1.83923317146104</v>
      </c>
      <c r="W3" s="25">
        <f>IF(Phi=1,F3*(D3*NORMSDIST(U3)-Cap3*NORMSDIST(V3)),F3*(Cap3*NORMSDIST(-V3)-D3*NORMSDIST(-U3)))</f>
        <v>0.122648509493088</v>
      </c>
      <c r="X3" s="29">
        <f>B3*Volume*W3</f>
        <v>12264.8509493088</v>
      </c>
      <c r="Y3" s="28">
        <f>CM_VOL(Giveup3,C3)</f>
        <v>0.369706501336764</v>
      </c>
      <c r="Z3" s="25">
        <f>(LN(D3/Giveup3)+Y3^2/2*C3)/(Y3*SQRT(C3))</f>
        <v>1.1680653098197</v>
      </c>
      <c r="AA3" s="25">
        <f>Z3-Y3*SQRT(C3)</f>
        <v>1.06134023578573</v>
      </c>
      <c r="AB3" s="25">
        <f>IF(Phi=-1,F3*(D3*NORMSDIST(Z3)-Giveup3*NORMSDIST(AA3)),F3*(Giveup3*NORMSDIST(-AA3)-D3*NORMSDIST(-Z3)))</f>
        <v>0.500612035296435</v>
      </c>
      <c r="AC3" s="29">
        <f>B3*Volume*AB3</f>
        <v>50061.2035296435</v>
      </c>
      <c r="AD3" s="28">
        <f>CM_VOL(PSStrike,C3)</f>
        <v>0.338345205696501</v>
      </c>
      <c r="AE3" s="25">
        <f>(LN(D3/PSStrike)+AD3^2/2*C3)/(AD3*SQRT(C3))</f>
        <v>-0.224505433123718</v>
      </c>
      <c r="AF3" s="25">
        <f>AE3-AD3*SQRT(C3)</f>
        <v>-0.322177280917665</v>
      </c>
      <c r="AG3" s="25">
        <f>IF(Phi=1,F3*(D3*NORMSDIST(AE3)-PSStrike*NORMSDIST(AF3)),F3*(PSStrike*NORMSDIST(-AF3)-D3*NORMSDIST(-AE3)))</f>
        <v>2.0494448809465</v>
      </c>
      <c r="AH3" s="25">
        <f>IF(Phi=-1,F3*(D3*NORMSDIST(AE3)-PSStrike*NORMSDIST(AF3)),F3*(PSStrike*NORMSDIST(-AF3)-D3*NORMSDIST(-AE3)))</f>
        <v>4.07232892823311</v>
      </c>
      <c r="AI3" s="29">
        <f>B3*Volume*(AG3-(1-Participation)*AH3)</f>
        <v>1328.04168299421</v>
      </c>
      <c r="AJ3" s="28">
        <f>CM_VOL(DUStrike,C3)</f>
        <v>0.36304829470722</v>
      </c>
      <c r="AK3" s="25">
        <f>(LN(D3/DUStrike)+AJ3^2/2*C3)/(AJ3*SQRT(C3))</f>
        <v>0.927001475844161</v>
      </c>
      <c r="AL3" s="25">
        <f>AK3-AJ3*SQRT(C3)</f>
        <v>0.822198460505137</v>
      </c>
      <c r="AM3" s="25">
        <f>IF(Phi=1,F3*(D3*NORMSDIST(AK3)-DUStrike*NORMSDIST(AL3)),F3*(DUStrike*NORMSDIST(-AL3)-D3*NORMSDIST(-AK3)))</f>
        <v>7.33477783253328</v>
      </c>
      <c r="AN3" s="25">
        <f>IF(Phi=-1,F3*(D3*NORMSDIST(AK3)-DUStrike*NORMSDIST(AL3)),F3*(DUStrike*NORMSDIST(-AL3)-D3*NORMSDIST(-AK3)))</f>
        <v>0.786646448203218</v>
      </c>
      <c r="AO3" s="29">
        <f>B3*Volume*(AM3-Leverage*AN3)</f>
        <v>576148.493612685</v>
      </c>
    </row>
    <row r="4" spans="1:41">
      <c r="A4" s="24">
        <f>ROW()-2</f>
        <v>2</v>
      </c>
      <c r="B4" s="24">
        <f>IF(A4&lt;=NMonths,1,0)</f>
        <v>1</v>
      </c>
      <c r="C4" s="25">
        <f>A4/12</f>
        <v>0.166666666666667</v>
      </c>
      <c r="D4" s="26">
        <f>CM_FUTURE(C4)</f>
        <v>74.45</v>
      </c>
      <c r="E4" s="26">
        <f>D4-Front</f>
        <v>-0.549999999999997</v>
      </c>
      <c r="F4" s="27">
        <f>CM_DF(C4)</f>
        <v>0.993719803391055</v>
      </c>
      <c r="G4" s="28">
        <f>-LN(F4)/C4</f>
        <v>0.0378000000000001</v>
      </c>
      <c r="H4" s="26">
        <f>D4+Phi*MarginUSD</f>
        <v>74.45</v>
      </c>
      <c r="I4" s="29">
        <f>B4*Volume*F4*Phi*(D4-H4)</f>
        <v>0</v>
      </c>
      <c r="J4" s="28">
        <f>CM_VOL(Protect,C4)</f>
        <v>0.330156340829031</v>
      </c>
      <c r="K4" s="25">
        <f>(LN(D4/Protect)+J4^2/2*C4)/(J4*SQRT(C4))</f>
        <v>0.01278507725198</v>
      </c>
      <c r="L4" s="25">
        <f>K4-J4*SQRT(C4)</f>
        <v>-0.122000684477276</v>
      </c>
      <c r="M4" s="25">
        <f>IF(Phi=1,F4*(D4*NORMSDIST(K4)-Protect*NORMSDIST(L4)),F4*(Protect*NORMSDIST(-L4)-D4*NORMSDIST(-K4)))</f>
        <v>3.72250380696072</v>
      </c>
      <c r="N4" s="29">
        <f>B4*Volume*M4</f>
        <v>372250.380696072</v>
      </c>
      <c r="O4" s="28">
        <f>CM_VOL(Giveup,C4)</f>
        <v>0.339465856024316</v>
      </c>
      <c r="P4" s="25">
        <f>(LN(D4/Giveup)+O4^2/2*C4)/(O4*SQRT(C4))</f>
        <v>0.464705679502821</v>
      </c>
      <c r="Q4" s="25">
        <f>P4-O4*SQRT(C4)</f>
        <v>0.326119324110042</v>
      </c>
      <c r="R4" s="25">
        <f>IF(Phi=-1,F4*(D4*NORMSDIST(P4)-Giveup*NORMSDIST(Q4)),F4*(Giveup*NORMSDIST(-Q4)-D4*NORMSDIST(-P4)))</f>
        <v>2.31197653985658</v>
      </c>
      <c r="S4" s="29">
        <f>B4*Volume*R4</f>
        <v>231197.653985658</v>
      </c>
      <c r="T4" s="28">
        <f>CM_VOL(Cap3,C4)</f>
        <v>0.338743828510723</v>
      </c>
      <c r="U4" s="25">
        <f>(LN(D4/Cap3)+T4^2/2*C4)/(T4*SQRT(C4))</f>
        <v>-1.3024626505514</v>
      </c>
      <c r="V4" s="25">
        <f>U4-T4*SQRT(C4)</f>
        <v>-1.44075423944609</v>
      </c>
      <c r="W4" s="25">
        <f>IF(Phi=1,F4*(D4*NORMSDIST(U4)-Cap3*NORMSDIST(V4)),F4*(Cap3*NORMSDIST(-V4)-D4*NORMSDIST(-U4)))</f>
        <v>0.438221727255742</v>
      </c>
      <c r="X4" s="29">
        <f>B4*Volume*W4</f>
        <v>43822.1727255742</v>
      </c>
      <c r="Y4" s="28">
        <f>CM_VOL(Giveup3,C4)</f>
        <v>0.350797575586807</v>
      </c>
      <c r="Z4" s="25">
        <f>(LN(D4/Giveup3)+Y4^2/2*C4)/(Y4*SQRT(C4))</f>
        <v>0.850912344742588</v>
      </c>
      <c r="AA4" s="25">
        <f>Z4-Y4*SQRT(C4)</f>
        <v>0.707699834210407</v>
      </c>
      <c r="AB4" s="25">
        <f>IF(Phi=-1,F4*(D4*NORMSDIST(Z4)-Giveup3*NORMSDIST(AA4)),F4*(Giveup3*NORMSDIST(-AA4)-D4*NORMSDIST(-Z4)))</f>
        <v>1.24717843374784</v>
      </c>
      <c r="AC4" s="29">
        <f>B4*Volume*AB4</f>
        <v>124717.843374784</v>
      </c>
      <c r="AD4" s="28">
        <f>CM_VOL(PSStrike,C4)</f>
        <v>0.328479389447278</v>
      </c>
      <c r="AE4" s="25">
        <f>(LN(D4/PSStrike)+AD4^2/2*C4)/(AD4*SQRT(C4))</f>
        <v>-0.186922713697409</v>
      </c>
      <c r="AF4" s="25">
        <f>AE4-AD4*SQRT(C4)</f>
        <v>-0.321023862891873</v>
      </c>
      <c r="AG4" s="25">
        <f>IF(Phi=1,F4*(D4*NORMSDIST(AE4)-PSStrike*NORMSDIST(AF4)),F4*(PSStrike*NORMSDIST(-AF4)-D4*NORMSDIST(-AE4)))</f>
        <v>2.87081472088606</v>
      </c>
      <c r="AH4" s="25">
        <f>IF(Phi=-1,F4*(D4*NORMSDIST(AE4)-PSStrike*NORMSDIST(AF4)),F4*(PSStrike*NORMSDIST(-AF4)-D4*NORMSDIST(-AE4)))</f>
        <v>5.43391620977261</v>
      </c>
      <c r="AI4" s="29">
        <f>B4*Volume*(AG4-(1-Participation)*AH4)</f>
        <v>15385.6615999752</v>
      </c>
      <c r="AJ4" s="28">
        <f>CM_VOL(DUStrike,C4)</f>
        <v>0.3453200932651</v>
      </c>
      <c r="AK4" s="25">
        <f>(LN(D4/DUStrike)+AJ4^2/2*C4)/(AJ4*SQRT(C4))</f>
        <v>0.668463409439776</v>
      </c>
      <c r="AL4" s="25">
        <f>AK4-AJ4*SQRT(C4)</f>
        <v>0.527487071701477</v>
      </c>
      <c r="AM4" s="25">
        <f>IF(Phi=1,F4*(D4*NORMSDIST(AK4)-DUStrike*NORMSDIST(AL4)),F4*(DUStrike*NORMSDIST(-AL4)-D4*NORMSDIST(-AK4)))</f>
        <v>7.67100789072196</v>
      </c>
      <c r="AN4" s="25">
        <f>IF(Phi=-1,F4*(D4*NORMSDIST(AK4)-DUStrike*NORMSDIST(AL4)),F4*(DUStrike*NORMSDIST(-AL4)-D4*NORMSDIST(-AK4)))</f>
        <v>1.68990776609155</v>
      </c>
      <c r="AO4" s="29">
        <f>B4*Volume*(AM4-Leverage*AN4)</f>
        <v>429119.235853886</v>
      </c>
    </row>
    <row r="5" spans="1:41">
      <c r="A5" s="24">
        <f>ROW()-2</f>
        <v>3</v>
      </c>
      <c r="B5" s="24">
        <f>IF(A5&lt;=NMonths,1,0)</f>
        <v>1</v>
      </c>
      <c r="C5" s="25">
        <f>A5/12</f>
        <v>0.25</v>
      </c>
      <c r="D5" s="26">
        <f>CM_FUTURE(C5)</f>
        <v>73.95</v>
      </c>
      <c r="E5" s="26">
        <f>D5-Front</f>
        <v>-1.05</v>
      </c>
      <c r="F5" s="27">
        <f>CM_DF(C5)</f>
        <v>0.990668808304661</v>
      </c>
      <c r="G5" s="28">
        <f>-LN(F5)/C5</f>
        <v>0.0375</v>
      </c>
      <c r="H5" s="26">
        <f>D5+Phi*MarginUSD</f>
        <v>73.95</v>
      </c>
      <c r="I5" s="29">
        <f>B5*Volume*F5*Phi*(D5-H5)</f>
        <v>0</v>
      </c>
      <c r="J5" s="28">
        <f>CM_VOL(Protect,C5)</f>
        <v>0.319897031832569</v>
      </c>
      <c r="K5" s="25">
        <f>(LN(D5/Protect)+J5^2/2*C5)/(J5*SQRT(C5))</f>
        <v>-0.00817238284520767</v>
      </c>
      <c r="L5" s="25">
        <f>K5-J5*SQRT(C5)</f>
        <v>-0.168120898761492</v>
      </c>
      <c r="M5" s="25">
        <f>IF(Phi=1,F5*(D5*NORMSDIST(K5)-Protect*NORMSDIST(L5)),F5*(Protect*NORMSDIST(-L5)-D5*NORMSDIST(-K5)))</f>
        <v>4.20102669118713</v>
      </c>
      <c r="N5" s="29">
        <f>B5*Volume*M5</f>
        <v>420102.669118713</v>
      </c>
      <c r="O5" s="28">
        <f>CM_VOL(Giveup,C5)</f>
        <v>0.327423128801652</v>
      </c>
      <c r="P5" s="25">
        <f>(LN(D5/Giveup)+O5^2/2*C5)/(O5*SQRT(C5))</f>
        <v>0.375422139010832</v>
      </c>
      <c r="Q5" s="25">
        <f>P5-O5*SQRT(C5)</f>
        <v>0.211710574610006</v>
      </c>
      <c r="R5" s="25">
        <f>IF(Phi=-1,F5*(D5*NORMSDIST(P5)-Giveup*NORMSDIST(Q5)),F5*(Giveup*NORMSDIST(-Q5)-D5*NORMSDIST(-P5)))</f>
        <v>3.14762307333034</v>
      </c>
      <c r="S5" s="29">
        <f>B5*Volume*R5</f>
        <v>314762.307333034</v>
      </c>
      <c r="T5" s="28">
        <f>CM_VOL(Cap3,C5)</f>
        <v>0.325662947989934</v>
      </c>
      <c r="U5" s="25">
        <f>(LN(D5/Cap3)+T5^2/2*C5)/(T5*SQRT(C5))</f>
        <v>-1.12486506581296</v>
      </c>
      <c r="V5" s="25">
        <f>U5-T5*SQRT(C5)</f>
        <v>-1.28769653980793</v>
      </c>
      <c r="W5" s="25">
        <f>IF(Phi=1,F5*(D5*NORMSDIST(U5)-Cap3*NORMSDIST(V5)),F5*(Cap3*NORMSDIST(-V5)-D5*NORMSDIST(-U5)))</f>
        <v>0.727221296818186</v>
      </c>
      <c r="X5" s="29">
        <f>B5*Volume*W5</f>
        <v>72722.1296818186</v>
      </c>
      <c r="Y5" s="28">
        <f>CM_VOL(Giveup3,C5)</f>
        <v>0.336983075575907</v>
      </c>
      <c r="Z5" s="25">
        <f>(LN(D5/Giveup3)+Y5^2/2*C5)/(Y5*SQRT(C5))</f>
        <v>0.706637925500163</v>
      </c>
      <c r="AA5" s="25">
        <f>Z5-Y5*SQRT(C5)</f>
        <v>0.53814638771221</v>
      </c>
      <c r="AB5" s="25">
        <f>IF(Phi=-1,F5*(D5*NORMSDIST(Z5)-Giveup3*NORMSDIST(AA5)),F5*(Giveup3*NORMSDIST(-AA5)-D5*NORMSDIST(-Z5)))</f>
        <v>1.9010511499756</v>
      </c>
      <c r="AC5" s="29">
        <f>B5*Volume*AB5</f>
        <v>190105.11499756</v>
      </c>
      <c r="AD5" s="28">
        <f>CM_VOL(PSStrike,C5)</f>
        <v>0.318385533608626</v>
      </c>
      <c r="AE5" s="25">
        <f>(LN(D5/PSStrike)+AD5^2/2*C5)/(AD5*SQRT(C5))</f>
        <v>-0.176675811730721</v>
      </c>
      <c r="AF5" s="25">
        <f>AE5-AD5*SQRT(C5)</f>
        <v>-0.335868578535034</v>
      </c>
      <c r="AG5" s="25">
        <f>IF(Phi=1,F5*(D5*NORMSDIST(AE5)-PSStrike*NORMSDIST(AF5)),F5*(PSStrike*NORMSDIST(-AF5)-D5*NORMSDIST(-AE5)))</f>
        <v>3.37381961066033</v>
      </c>
      <c r="AH5" s="25">
        <f>IF(Phi=-1,F5*(D5*NORMSDIST(AE5)-PSStrike*NORMSDIST(AF5)),F5*(PSStrike*NORMSDIST(-AF5)-D5*NORMSDIST(-AE5)))</f>
        <v>6.42438607207288</v>
      </c>
      <c r="AI5" s="29">
        <f>B5*Volume*(AG5-(1-Participation)*AH5)</f>
        <v>16162.6574623895</v>
      </c>
      <c r="AJ5" s="28">
        <f>CM_VOL(DUStrike,C5)</f>
        <v>0.332263609479083</v>
      </c>
      <c r="AK5" s="25">
        <f>(LN(D5/DUStrike)+AJ5^2/2*C5)/(AJ5*SQRT(C5))</f>
        <v>0.549934902090903</v>
      </c>
      <c r="AL5" s="25">
        <f>AK5-AJ5*SQRT(C5)</f>
        <v>0.383803097351362</v>
      </c>
      <c r="AM5" s="25">
        <f>IF(Phi=1,F5*(D5*NORMSDIST(AK5)-DUStrike*NORMSDIST(AL5)),F5*(DUStrike*NORMSDIST(-AL5)-D5*NORMSDIST(-AK5)))</f>
        <v>7.9009274112369</v>
      </c>
      <c r="AN5" s="25">
        <f>IF(Phi=-1,F5*(D5*NORMSDIST(AK5)-DUStrike*NORMSDIST(AL5)),F5*(DUStrike*NORMSDIST(-AL5)-D5*NORMSDIST(-AK5)))</f>
        <v>2.4335253250843</v>
      </c>
      <c r="AO5" s="29">
        <f>B5*Volume*(AM5-Leverage*AN5)</f>
        <v>303387.676106829</v>
      </c>
    </row>
    <row r="6" spans="1:41">
      <c r="A6" s="24">
        <f>ROW()-2</f>
        <v>4</v>
      </c>
      <c r="B6" s="24">
        <f>IF(A6&lt;=NMonths,1,0)</f>
        <v>1</v>
      </c>
      <c r="C6" s="25">
        <f>A6/12</f>
        <v>0.333333333333333</v>
      </c>
      <c r="D6" s="26">
        <f>CM_FUTURE(C6)</f>
        <v>73.5333333333333</v>
      </c>
      <c r="E6" s="26">
        <f>D6-Front</f>
        <v>-1.46666666666667</v>
      </c>
      <c r="F6" s="27">
        <f>CM_DF(C6)</f>
        <v>0.987687537456988</v>
      </c>
      <c r="G6" s="28">
        <f>-LN(F6)/C6</f>
        <v>0.0371666666666667</v>
      </c>
      <c r="H6" s="26">
        <f>D6+Phi*MarginUSD</f>
        <v>73.5333333333333</v>
      </c>
      <c r="I6" s="29">
        <f>B6*Volume*F6*Phi*(D6-H6)</f>
        <v>0</v>
      </c>
      <c r="J6" s="28">
        <f>CM_VOL(Protect,C6)</f>
        <v>0.312340597330357</v>
      </c>
      <c r="K6" s="25">
        <f>(LN(D6/Protect)+J6^2/2*C6)/(J6*SQRT(C6))</f>
        <v>-0.0193526053493059</v>
      </c>
      <c r="L6" s="25">
        <f>K6-J6*SQRT(C6)</f>
        <v>-0.199682533296836</v>
      </c>
      <c r="M6" s="25">
        <f>IF(Phi=1,F6*(D6*NORMSDIST(K6)-Protect*NORMSDIST(L6)),F6*(Protect*NORMSDIST(-L6)-D6*NORMSDIST(-K6)))</f>
        <v>4.57709205852935</v>
      </c>
      <c r="N6" s="29">
        <f>B6*Volume*M6</f>
        <v>457709.205852935</v>
      </c>
      <c r="O6" s="28">
        <f>CM_VOL(Giveup,C6)</f>
        <v>0.318934891220018</v>
      </c>
      <c r="P6" s="25">
        <f>(LN(D6/Giveup)+O6^2/2*C6)/(O6*SQRT(C6))</f>
        <v>0.322385147039677</v>
      </c>
      <c r="Q6" s="25">
        <f>P6-O6*SQRT(C6)</f>
        <v>0.138248001739835</v>
      </c>
      <c r="R6" s="25">
        <f>IF(Phi=-1,F6*(D6*NORMSDIST(P6)-Giveup*NORMSDIST(Q6)),F6*(Giveup*NORMSDIST(-Q6)-D6*NORMSDIST(-P6)))</f>
        <v>3.8465968146905</v>
      </c>
      <c r="S6" s="29">
        <f>B6*Volume*R6</f>
        <v>384659.68146905</v>
      </c>
      <c r="T6" s="28">
        <f>CM_VOL(Cap3,C6)</f>
        <v>0.316926928634843</v>
      </c>
      <c r="U6" s="25">
        <f>(LN(D6/Cap3)+T6^2/2*C6)/(T6*SQRT(C6))</f>
        <v>-1.01285706603603</v>
      </c>
      <c r="V6" s="25">
        <f>U6-T6*SQRT(C6)</f>
        <v>-1.1958349135968</v>
      </c>
      <c r="W6" s="25">
        <f>IF(Phi=1,F6*(D6*NORMSDIST(U6)-Cap3*NORMSDIST(V6)),F6*(Cap3*NORMSDIST(-V6)-D6*NORMSDIST(-U6)))</f>
        <v>0.997476614757469</v>
      </c>
      <c r="X6" s="29">
        <f>B6*Volume*W6</f>
        <v>99747.6614757469</v>
      </c>
      <c r="Y6" s="28">
        <f>CM_VOL(Giveup3,C6)</f>
        <v>0.327511902438539</v>
      </c>
      <c r="Z6" s="25">
        <f>(LN(D6/Giveup3)+Y6^2/2*C6)/(Y6*SQRT(C6))</f>
        <v>0.619257222519922</v>
      </c>
      <c r="AA6" s="25">
        <f>Z6-Y6*SQRT(C6)</f>
        <v>0.430168137484225</v>
      </c>
      <c r="AB6" s="25">
        <f>IF(Phi=-1,F6*(D6*NORMSDIST(Z6)-Giveup3*NORMSDIST(AA6)),F6*(Giveup3*NORMSDIST(-AA6)-D6*NORMSDIST(-Z6)))</f>
        <v>2.48091757114092</v>
      </c>
      <c r="AC6" s="29">
        <f>B6*Volume*AB6</f>
        <v>248091.757114092</v>
      </c>
      <c r="AD6" s="28">
        <f>CM_VOL(PSStrike,C6)</f>
        <v>0.31095391328928</v>
      </c>
      <c r="AE6" s="25">
        <f>(LN(D6/PSStrike)+AD6^2/2*C6)/(AD6*SQRT(C6))</f>
        <v>-0.168951013139413</v>
      </c>
      <c r="AF6" s="25">
        <f>AE6-AD6*SQRT(C6)</f>
        <v>-0.348480338682547</v>
      </c>
      <c r="AG6" s="25">
        <f>IF(Phi=1,F6*(D6*NORMSDIST(AE6)-PSStrike*NORMSDIST(AF6)),F6*(PSStrike*NORMSDIST(-AF6)-D6*NORMSDIST(-AE6)))</f>
        <v>3.76828056789835</v>
      </c>
      <c r="AH6" s="25">
        <f>IF(Phi=-1,F6*(D6*NORMSDIST(AE6)-PSStrike*NORMSDIST(AF6)),F6*(PSStrike*NORMSDIST(-AF6)-D6*NORMSDIST(-AE6)))</f>
        <v>7.22120327593006</v>
      </c>
      <c r="AI6" s="29">
        <f>B6*Volume*(AG6-(1-Participation)*AH6)</f>
        <v>15767.8929933315</v>
      </c>
      <c r="AJ6" s="28">
        <f>CM_VOL(DUStrike,C6)</f>
        <v>0.323229756404659</v>
      </c>
      <c r="AK6" s="25">
        <f>(LN(D6/DUStrike)+AJ6^2/2*C6)/(AJ6*SQRT(C6))</f>
        <v>0.478651104029941</v>
      </c>
      <c r="AL6" s="25">
        <f>AK6-AJ6*SQRT(C6)</f>
        <v>0.292034317159614</v>
      </c>
      <c r="AM6" s="25">
        <f>IF(Phi=1,F6*(D6*NORMSDIST(AK6)-DUStrike*NORMSDIST(AL6)),F6*(DUStrike*NORMSDIST(-AL6)-D6*NORMSDIST(-AK6)))</f>
        <v>8.11258163581125</v>
      </c>
      <c r="AN6" s="25">
        <f>IF(Phi=-1,F6*(D6*NORMSDIST(AK6)-DUStrike*NORMSDIST(AL6)),F6*(DUStrike*NORMSDIST(-AL6)-D6*NORMSDIST(-AK6)))</f>
        <v>3.0731693592803</v>
      </c>
      <c r="AO6" s="29">
        <f>B6*Volume*(AM6-Leverage*AN6)</f>
        <v>196624.291725066</v>
      </c>
    </row>
    <row r="7" spans="1:41">
      <c r="A7" s="24">
        <f>ROW()-2</f>
        <v>5</v>
      </c>
      <c r="B7" s="24">
        <f>IF(A7&lt;=NMonths,1,0)</f>
        <v>1</v>
      </c>
      <c r="C7" s="25">
        <f>A7/12</f>
        <v>0.416666666666667</v>
      </c>
      <c r="D7" s="26">
        <f>CM_FUTURE(C7)</f>
        <v>73.1166666666667</v>
      </c>
      <c r="E7" s="26">
        <f>D7-Front</f>
        <v>-1.88333333333334</v>
      </c>
      <c r="F7" s="27">
        <f>CM_DF(C7)</f>
        <v>0.984769946223543</v>
      </c>
      <c r="G7" s="28">
        <f>-LN(F7)/C7</f>
        <v>0.0368333333333333</v>
      </c>
      <c r="H7" s="26">
        <f>D7+Phi*MarginUSD</f>
        <v>73.1166666666667</v>
      </c>
      <c r="I7" s="29">
        <f>B7*Volume*F7*Phi*(D7-H7)</f>
        <v>0</v>
      </c>
      <c r="J7" s="28">
        <f>CM_VOL(Protect,C7)</f>
        <v>0.307679135699622</v>
      </c>
      <c r="K7" s="25">
        <f>(LN(D7/Protect)+J7^2/2*C7)/(J7*SQRT(C7))</f>
        <v>-0.0287483590012788</v>
      </c>
      <c r="L7" s="25">
        <f>K7-J7*SQRT(C7)</f>
        <v>-0.2273543870913</v>
      </c>
      <c r="M7" s="25">
        <f>IF(Phi=1,F7*(D7*NORMSDIST(K7)-Protect*NORMSDIST(L7)),F7*(Protect*NORMSDIST(-L7)-D7*NORMSDIST(-K7)))</f>
        <v>4.88871462882644</v>
      </c>
      <c r="N7" s="29">
        <f>B7*Volume*M7</f>
        <v>488871.462882644</v>
      </c>
      <c r="O7" s="28">
        <f>CM_VOL(Giveup,C7)</f>
        <v>0.313632860196708</v>
      </c>
      <c r="P7" s="25">
        <f>(LN(D7/Giveup)+O7^2/2*C7)/(O7*SQRT(C7))</f>
        <v>0.282639799809556</v>
      </c>
      <c r="Q7" s="25">
        <f>P7-O7*SQRT(C7)</f>
        <v>0.0801906590820145</v>
      </c>
      <c r="R7" s="25">
        <f>IF(Phi=-1,F7*(D7*NORMSDIST(P7)-Giveup*NORMSDIST(Q7)),F7*(Giveup*NORMSDIST(-Q7)-D7*NORMSDIST(-P7)))</f>
        <v>4.49574312388983</v>
      </c>
      <c r="S7" s="29">
        <f>B7*Volume*R7</f>
        <v>449574.312388983</v>
      </c>
      <c r="T7" s="28">
        <f>CM_VOL(Cap3,C7)</f>
        <v>0.311415680994189</v>
      </c>
      <c r="U7" s="25">
        <f>(LN(D7/Cap3)+T7^2/2*C7)/(T7*SQRT(C7))</f>
        <v>-0.932997349420224</v>
      </c>
      <c r="V7" s="25">
        <f>U7-T7*SQRT(C7)</f>
        <v>-1.13401530712661</v>
      </c>
      <c r="W7" s="25">
        <f>IF(Phi=1,F7*(D7*NORMSDIST(U7)-Cap3*NORMSDIST(V7)),F7*(Cap3*NORMSDIST(-V7)-D7*NORMSDIST(-U7)))</f>
        <v>1.25063582160715</v>
      </c>
      <c r="X7" s="29">
        <f>B7*Volume*W7</f>
        <v>125063.582160715</v>
      </c>
      <c r="Y7" s="28">
        <f>CM_VOL(Giveup3,C7)</f>
        <v>0.321488710847505</v>
      </c>
      <c r="Z7" s="25">
        <f>(LN(D7/Giveup3)+Y7^2/2*C7)/(Y7*SQRT(C7))</f>
        <v>0.554487336611953</v>
      </c>
      <c r="AA7" s="25">
        <f>Z7-Y7*SQRT(C7)</f>
        <v>0.346967266094274</v>
      </c>
      <c r="AB7" s="25">
        <f>IF(Phi=-1,F7*(D7*NORMSDIST(Z7)-Giveup3*NORMSDIST(AA7)),F7*(Giveup3*NORMSDIST(-AA7)-D7*NORMSDIST(-Z7)))</f>
        <v>3.03527758492482</v>
      </c>
      <c r="AC7" s="29">
        <f>B7*Volume*AB7</f>
        <v>303527.758492482</v>
      </c>
      <c r="AD7" s="28">
        <f>CM_VOL(PSStrike,C7)</f>
        <v>0.306384162055605</v>
      </c>
      <c r="AE7" s="25">
        <f>(LN(D7/PSStrike)+AD7^2/2*C7)/(AD7*SQRT(C7))</f>
        <v>-0.164701409809557</v>
      </c>
      <c r="AF7" s="25">
        <f>AE7-AD7*SQRT(C7)</f>
        <v>-0.362471536006735</v>
      </c>
      <c r="AG7" s="25">
        <f>IF(Phi=1,F7*(D7*NORMSDIST(AE7)-PSStrike*NORMSDIST(AF7)),F7*(PSStrike*NORMSDIST(-AF7)-D7*NORMSDIST(-AE7)))</f>
        <v>4.09737539710753</v>
      </c>
      <c r="AH7" s="25">
        <f>IF(Phi=-1,F7*(D7*NORMSDIST(AE7)-PSStrike*NORMSDIST(AF7)),F7*(PSStrike*NORMSDIST(-AF7)-D7*NORMSDIST(-AE7)))</f>
        <v>7.95041911436666</v>
      </c>
      <c r="AI7" s="29">
        <f>B7*Volume*(AG7-(1-Participation)*AH7)</f>
        <v>12216.5839924203</v>
      </c>
      <c r="AJ7" s="28">
        <f>CM_VOL(DUStrike,C7)</f>
        <v>0.31753760231082</v>
      </c>
      <c r="AK7" s="25">
        <f>(LN(D7/DUStrike)+AJ7^2/2*C7)/(AJ7*SQRT(C7))</f>
        <v>0.425600668200939</v>
      </c>
      <c r="AL7" s="25">
        <f>AK7-AJ7*SQRT(C7)</f>
        <v>0.220631027276866</v>
      </c>
      <c r="AM7" s="25">
        <f>IF(Phi=1,F7*(D7*NORMSDIST(AK7)-DUStrike*NORMSDIST(AL7)),F7*(DUStrike*NORMSDIST(-AL7)-D7*NORMSDIST(-AK7)))</f>
        <v>8.28952130196644</v>
      </c>
      <c r="AN7" s="25">
        <f>IF(Phi=-1,F7*(D7*NORMSDIST(AK7)-DUStrike*NORMSDIST(AL7)),F7*(DUStrike*NORMSDIST(-AL7)-D7*NORMSDIST(-AK7)))</f>
        <v>3.67531606760628</v>
      </c>
      <c r="AO7" s="29">
        <f>B7*Volume*(AM7-Leverage*AN7)</f>
        <v>93888.9166753866</v>
      </c>
    </row>
    <row r="8" spans="1:41">
      <c r="A8" s="24">
        <f>ROW()-2</f>
        <v>6</v>
      </c>
      <c r="B8" s="24">
        <f>IF(A8&lt;=NMonths,1,0)</f>
        <v>1</v>
      </c>
      <c r="C8" s="25">
        <f>A8/12</f>
        <v>0.5</v>
      </c>
      <c r="D8" s="26">
        <f>CM_FUTURE(C8)</f>
        <v>72.7</v>
      </c>
      <c r="E8" s="26">
        <f>D8-Front</f>
        <v>-2.3</v>
      </c>
      <c r="F8" s="27">
        <f>CM_DF(C8)</f>
        <v>0.981915522790186</v>
      </c>
      <c r="G8" s="28">
        <f>-LN(F8)/C8</f>
        <v>0.0364999999999999</v>
      </c>
      <c r="H8" s="26">
        <f>D8+Phi*MarginUSD</f>
        <v>72.7</v>
      </c>
      <c r="I8" s="29">
        <f>B8*Volume*F8*Phi*(D8-H8)</f>
        <v>0</v>
      </c>
      <c r="J8" s="28">
        <f>CM_VOL(Protect,C8)</f>
        <v>0.304500089075655</v>
      </c>
      <c r="K8" s="25">
        <f>(LN(D8/Protect)+J8^2/2*C8)/(J8*SQRT(C8))</f>
        <v>-0.0370001488725044</v>
      </c>
      <c r="L8" s="25">
        <f>K8-J8*SQRT(C8)</f>
        <v>-0.252314226729808</v>
      </c>
      <c r="M8" s="25">
        <f>IF(Phi=1,F8*(D8*NORMSDIST(K8)-Protect*NORMSDIST(L8)),F8*(Protect*NORMSDIST(-L8)-D8*NORMSDIST(-K8)))</f>
        <v>5.1523006766208</v>
      </c>
      <c r="N8" s="29">
        <f>B8*Volume*M8</f>
        <v>515230.06766208</v>
      </c>
      <c r="O8" s="28">
        <f>CM_VOL(Giveup,C8)</f>
        <v>0.309983367300839</v>
      </c>
      <c r="P8" s="25">
        <f>(LN(D8/Giveup)+O8^2/2*C8)/(O8*SQRT(C8))</f>
        <v>0.251081199844915</v>
      </c>
      <c r="Q8" s="25">
        <f>P8-O8*SQRT(C8)</f>
        <v>0.0318898587714516</v>
      </c>
      <c r="R8" s="25">
        <f>IF(Phi=-1,F8*(D8*NORMSDIST(P8)-Giveup*NORMSDIST(Q8)),F8*(Giveup*NORMSDIST(-Q8)-D8*NORMSDIST(-P8)))</f>
        <v>5.10579331268782</v>
      </c>
      <c r="S8" s="29">
        <f>B8*Volume*R8</f>
        <v>510579.331268782</v>
      </c>
      <c r="T8" s="28">
        <f>CM_VOL(Cap3,C8)</f>
        <v>0.307602989920476</v>
      </c>
      <c r="U8" s="25">
        <f>(LN(D8/Cap3)+T8^2/2*C8)/(T8*SQRT(C8))</f>
        <v>-0.872672482097752</v>
      </c>
      <c r="V8" s="25">
        <f>U8-T8*SQRT(C8)</f>
        <v>-1.09018064218378</v>
      </c>
      <c r="W8" s="25">
        <f>IF(Phi=1,F8*(D8*NORMSDIST(U8)-Cap3*NORMSDIST(V8)),F8*(Cap3*NORMSDIST(-V8)-D8*NORMSDIST(-U8)))</f>
        <v>1.48542400286096</v>
      </c>
      <c r="X8" s="29">
        <f>B8*Volume*W8</f>
        <v>148542.400286096</v>
      </c>
      <c r="Y8" s="28">
        <f>CM_VOL(Giveup3,C8)</f>
        <v>0.317287329576563</v>
      </c>
      <c r="Z8" s="25">
        <f>(LN(D8/Giveup3)+Y8^2/2*C8)/(Y8*SQRT(C8))</f>
        <v>0.503609478191741</v>
      </c>
      <c r="AA8" s="25">
        <f>Z8-Y8*SQRT(C8)</f>
        <v>0.279253455863582</v>
      </c>
      <c r="AB8" s="25">
        <f>IF(Phi=-1,F8*(D8*NORMSDIST(Z8)-Giveup3*NORMSDIST(AA8)),F8*(Giveup3*NORMSDIST(-AA8)-D8*NORMSDIST(-Z8)))</f>
        <v>3.56684740609959</v>
      </c>
      <c r="AC8" s="29">
        <f>B8*Volume*AB8</f>
        <v>356684.740609959</v>
      </c>
      <c r="AD8" s="28">
        <f>CM_VOL(PSStrike,C8)</f>
        <v>0.303276232248266</v>
      </c>
      <c r="AE8" s="25">
        <f>(LN(D8/PSStrike)+AD8^2/2*C8)/(AD8*SQRT(C8))</f>
        <v>-0.162511450709842</v>
      </c>
      <c r="AF8" s="25">
        <f>AE8-AD8*SQRT(C8)</f>
        <v>-0.376960131105297</v>
      </c>
      <c r="AG8" s="25">
        <f>IF(Phi=1,F8*(D8*NORMSDIST(AE8)-PSStrike*NORMSDIST(AF8)),F8*(PSStrike*NORMSDIST(-AF8)-D8*NORMSDIST(-AE8)))</f>
        <v>4.3775342842958</v>
      </c>
      <c r="AH8" s="25">
        <f>IF(Phi=-1,F8*(D8*NORMSDIST(AE8)-PSStrike*NORMSDIST(AF8)),F8*(PSStrike*NORMSDIST(-AF8)-D8*NORMSDIST(-AE8)))</f>
        <v>8.62854115711135</v>
      </c>
      <c r="AI8" s="29">
        <f>B8*Volume*(AG8-(1-Participation)*AH8)</f>
        <v>6326.37057401224</v>
      </c>
      <c r="AJ8" s="28">
        <f>CM_VOL(DUStrike,C8)</f>
        <v>0.313594596388912</v>
      </c>
      <c r="AK8" s="25">
        <f>(LN(D8/DUStrike)+AJ8^2/2*C8)/(AJ8*SQRT(C8))</f>
        <v>0.383771580707803</v>
      </c>
      <c r="AL8" s="25">
        <f>AK8-AJ8*SQRT(C8)</f>
        <v>0.162026715057745</v>
      </c>
      <c r="AM8" s="25">
        <f>IF(Phi=1,F8*(D8*NORMSDIST(AK8)-DUStrike*NORMSDIST(AL8)),F8*(DUStrike*NORMSDIST(-AL8)-D8*NORMSDIST(-AK8)))</f>
        <v>8.43825635751289</v>
      </c>
      <c r="AN8" s="25">
        <f>IF(Phi=-1,F8*(D8*NORMSDIST(AK8)-DUStrike*NORMSDIST(AL8)),F8*(DUStrike*NORMSDIST(-AL8)-D8*NORMSDIST(-AK8)))</f>
        <v>4.24655718227388</v>
      </c>
      <c r="AO8" s="29">
        <f>B8*Volume*(AM8-Leverage*AN8)</f>
        <v>-5485.8007034861</v>
      </c>
    </row>
    <row r="9" spans="1:41">
      <c r="A9" s="24">
        <f>ROW()-2</f>
        <v>7</v>
      </c>
      <c r="B9" s="24">
        <f>IF(A9&lt;=NMonths,1,0)</f>
        <v>1</v>
      </c>
      <c r="C9" s="25">
        <f>A9/12</f>
        <v>0.583333333333333</v>
      </c>
      <c r="D9" s="26">
        <f>CM_FUTURE(C9)</f>
        <v>72.3666666666667</v>
      </c>
      <c r="E9" s="26">
        <f>D9-Front</f>
        <v>-2.63333333333334</v>
      </c>
      <c r="F9" s="27">
        <f>CM_DF(C9)</f>
        <v>0.9791237673534</v>
      </c>
      <c r="G9" s="28">
        <f>-LN(F9)/C9</f>
        <v>0.0361666666666666</v>
      </c>
      <c r="H9" s="26">
        <f>D9+Phi*MarginUSD</f>
        <v>72.3666666666667</v>
      </c>
      <c r="I9" s="29">
        <f>B9*Volume*F9*Phi*(D9-H9)</f>
        <v>0</v>
      </c>
      <c r="J9" s="28">
        <f>CM_VOL(Protect,C9)</f>
        <v>0.300190671569648</v>
      </c>
      <c r="K9" s="25">
        <f>(LN(D9/Protect)+J9^2/2*C9)/(J9*SQRT(C9))</f>
        <v>-0.0412560088408921</v>
      </c>
      <c r="L9" s="25">
        <f>K9-J9*SQRT(C9)</f>
        <v>-0.270530421405482</v>
      </c>
      <c r="M9" s="25">
        <f>IF(Phi=1,F9*(D9*NORMSDIST(K9)-Protect*NORMSDIST(L9)),F9*(Protect*NORMSDIST(-L9)-D9*NORMSDIST(-K9)))</f>
        <v>5.37479903712672</v>
      </c>
      <c r="N9" s="29">
        <f>B9*Volume*M9</f>
        <v>537479.903712672</v>
      </c>
      <c r="O9" s="28">
        <f>CM_VOL(Giveup,C9)</f>
        <v>0.305278294626801</v>
      </c>
      <c r="P9" s="25">
        <f>(LN(D9/Giveup)+O9^2/2*C9)/(O9*SQRT(C9))</f>
        <v>0.229879052481653</v>
      </c>
      <c r="Q9" s="25">
        <f>P9-O9*SQRT(C9)</f>
        <v>-0.00328109637740548</v>
      </c>
      <c r="R9" s="25">
        <f>IF(Phi=-1,F9*(D9*NORMSDIST(P9)-Giveup*NORMSDIST(Q9)),F9*(Giveup*NORMSDIST(-Q9)-D9*NORMSDIST(-P9)))</f>
        <v>5.60799799002864</v>
      </c>
      <c r="S9" s="29">
        <f>B9*Volume*R9</f>
        <v>560799.799002864</v>
      </c>
      <c r="T9" s="28">
        <f>CM_VOL(Cap3,C9)</f>
        <v>0.302529428235956</v>
      </c>
      <c r="U9" s="25">
        <f>(LN(D9/Cap3)+T9^2/2*C9)/(T9*SQRT(C9))</f>
        <v>-0.828221298672903</v>
      </c>
      <c r="V9" s="25">
        <f>U9-T9*SQRT(C9)</f>
        <v>-1.05928196614673</v>
      </c>
      <c r="W9" s="25">
        <f>IF(Phi=1,F9*(D9*NORMSDIST(U9)-Cap3*NORMSDIST(V9)),F9*(Cap3*NORMSDIST(-V9)-D9*NORMSDIST(-U9)))</f>
        <v>1.68422104105338</v>
      </c>
      <c r="X9" s="29">
        <f>B9*Volume*W9</f>
        <v>168422.104105338</v>
      </c>
      <c r="Y9" s="28">
        <f>CM_VOL(Giveup3,C9)</f>
        <v>0.312041763930927</v>
      </c>
      <c r="Z9" s="25">
        <f>(LN(D9/Giveup3)+Y9^2/2*C9)/(Y9*SQRT(C9))</f>
        <v>0.468367236426395</v>
      </c>
      <c r="AA9" s="25">
        <f>Z9-Y9*SQRT(C9)</f>
        <v>0.230041402559559</v>
      </c>
      <c r="AB9" s="25">
        <f>IF(Phi=-1,F9*(D9*NORMSDIST(Z9)-Giveup3*NORMSDIST(AA9)),F9*(Giveup3*NORMSDIST(-AA9)-D9*NORMSDIST(-Z9)))</f>
        <v>4.01084046525259</v>
      </c>
      <c r="AC9" s="29">
        <f>B9*Volume*AB9</f>
        <v>401084.046525259</v>
      </c>
      <c r="AD9" s="28">
        <f>CM_VOL(PSStrike,C9)</f>
        <v>0.299011843631043</v>
      </c>
      <c r="AE9" s="25">
        <f>(LN(D9/PSStrike)+AD9^2/2*C9)/(AD9*SQRT(C9))</f>
        <v>-0.159224397263071</v>
      </c>
      <c r="AF9" s="25">
        <f>AE9-AD9*SQRT(C9)</f>
        <v>-0.387598465117663</v>
      </c>
      <c r="AG9" s="25">
        <f>IF(Phi=1,F9*(D9*NORMSDIST(AE9)-PSStrike*NORMSDIST(AF9)),F9*(PSStrike*NORMSDIST(-AF9)-D9*NORMSDIST(-AE9)))</f>
        <v>4.6122276350042</v>
      </c>
      <c r="AH9" s="25">
        <f>IF(Phi=-1,F9*(D9*NORMSDIST(AE9)-PSStrike*NORMSDIST(AF9)),F9*(PSStrike*NORMSDIST(-AF9)-D9*NORMSDIST(-AE9)))</f>
        <v>9.1775227501251</v>
      </c>
      <c r="AI9" s="29">
        <f>B9*Volume*(AG9-(1-Participation)*AH9)</f>
        <v>2346.62599416557</v>
      </c>
      <c r="AJ9" s="28">
        <f>CM_VOL(DUStrike,C9)</f>
        <v>0.308613877562797</v>
      </c>
      <c r="AK9" s="25">
        <f>(LN(D9/DUStrike)+AJ9^2/2*C9)/(AJ9*SQRT(C9))</f>
        <v>0.355089983979643</v>
      </c>
      <c r="AL9" s="25">
        <f>AK9-AJ9*SQRT(C9)</f>
        <v>0.119382241572085</v>
      </c>
      <c r="AM9" s="25">
        <f>IF(Phi=1,F9*(D9*NORMSDIST(AK9)-DUStrike*NORMSDIST(AL9)),F9*(DUStrike*NORMSDIST(-AL9)-D9*NORMSDIST(-AK9)))</f>
        <v>8.5736371809101</v>
      </c>
      <c r="AN9" s="25">
        <f>IF(Phi=-1,F9*(D9*NORMSDIST(AK9)-DUStrike*NORMSDIST(AL9)),F9*(DUStrike*NORMSDIST(-AL9)-D9*NORMSDIST(-AK9)))</f>
        <v>4.72023031957298</v>
      </c>
      <c r="AO9" s="29">
        <f>B9*Volume*(AM9-Leverage*AN9)</f>
        <v>-86682.3458235865</v>
      </c>
    </row>
    <row r="10" spans="1:41">
      <c r="A10" s="24">
        <f>ROW()-2</f>
        <v>8</v>
      </c>
      <c r="B10" s="24">
        <f>IF(A10&lt;=NMonths,1,0)</f>
        <v>1</v>
      </c>
      <c r="C10" s="25">
        <f>A10/12</f>
        <v>0.666666666666667</v>
      </c>
      <c r="D10" s="26">
        <f>CM_FUTURE(C10)</f>
        <v>72.0333333333333</v>
      </c>
      <c r="E10" s="26">
        <f>D10-Front</f>
        <v>-2.96666666666667</v>
      </c>
      <c r="F10" s="27">
        <f>CM_DF(C10)</f>
        <v>0.976394191974561</v>
      </c>
      <c r="G10" s="28">
        <f>-LN(F10)/C10</f>
        <v>0.0358333333333333</v>
      </c>
      <c r="H10" s="26">
        <f>D10+Phi*MarginUSD</f>
        <v>72.0333333333333</v>
      </c>
      <c r="I10" s="29">
        <f>B10*Volume*F10*Phi*(D10-H10)</f>
        <v>0</v>
      </c>
      <c r="J10" s="28">
        <f>CM_VOL(Protect,C10)</f>
        <v>0.296904398726861</v>
      </c>
      <c r="K10" s="25">
        <f>(LN(D10/Protect)+J10^2/2*C10)/(J10*SQRT(C10))</f>
        <v>-0.0452726677632112</v>
      </c>
      <c r="L10" s="25">
        <f>K10-J10*SQRT(C10)</f>
        <v>-0.287694094186095</v>
      </c>
      <c r="M10" s="25">
        <f>IF(Phi=1,F10*(D10*NORMSDIST(K10)-Protect*NORMSDIST(L10)),F10*(Protect*NORMSDIST(-L10)-D10*NORMSDIST(-K10)))</f>
        <v>5.57210560481101</v>
      </c>
      <c r="N10" s="29">
        <f>B10*Volume*M10</f>
        <v>557210.560481101</v>
      </c>
      <c r="O10" s="28">
        <f>CM_VOL(Giveup,C10)</f>
        <v>0.301672173399715</v>
      </c>
      <c r="P10" s="25">
        <f>(LN(D10/Giveup)+O10^2/2*C10)/(O10*SQRT(C10))</f>
        <v>0.211661930893432</v>
      </c>
      <c r="Q10" s="25">
        <f>P10-O10*SQRT(C10)</f>
        <v>-0.0346523672484713</v>
      </c>
      <c r="R10" s="25">
        <f>IF(Phi=-1,F10*(D10*NORMSDIST(P10)-Giveup*NORMSDIST(Q10)),F10*(Giveup*NORMSDIST(-Q10)-D10*NORMSDIST(-P10)))</f>
        <v>6.08773970246683</v>
      </c>
      <c r="S10" s="29">
        <f>B10*Volume*R10</f>
        <v>608773.970246683</v>
      </c>
      <c r="T10" s="28">
        <f>CM_VOL(Cap3,C10)</f>
        <v>0.298616708377202</v>
      </c>
      <c r="U10" s="25">
        <f>(LN(D10/Cap3)+T10^2/2*C10)/(T10*SQRT(C10))</f>
        <v>-0.791391578787133</v>
      </c>
      <c r="V10" s="25">
        <f>U10-T10*SQRT(C10)</f>
        <v>-1.03521110018501</v>
      </c>
      <c r="W10" s="25">
        <f>IF(Phi=1,F10*(D10*NORMSDIST(U10)-Cap3*NORMSDIST(V10)),F10*(Cap3*NORMSDIST(-V10)-D10*NORMSDIST(-U10)))</f>
        <v>1.87002818986491</v>
      </c>
      <c r="X10" s="29">
        <f>B10*Volume*W10</f>
        <v>187002.818986491</v>
      </c>
      <c r="Y10" s="28">
        <f>CM_VOL(Giveup3,C10)</f>
        <v>0.307990181425612</v>
      </c>
      <c r="Z10" s="25">
        <f>(LN(D10/Giveup3)+Y10^2/2*C10)/(Y10*SQRT(C10))</f>
        <v>0.438325168858587</v>
      </c>
      <c r="AA10" s="25">
        <f>Z10-Y10*SQRT(C10)</f>
        <v>0.186852238765265</v>
      </c>
      <c r="AB10" s="25">
        <f>IF(Phi=-1,F10*(D10*NORMSDIST(Z10)-Giveup3*NORMSDIST(AA10)),F10*(Giveup3*NORMSDIST(-AA10)-D10*NORMSDIST(-Z10)))</f>
        <v>4.43919671718067</v>
      </c>
      <c r="AC10" s="29">
        <f>B10*Volume*AB10</f>
        <v>443919.671718067</v>
      </c>
      <c r="AD10" s="28">
        <f>CM_VOL(PSStrike,C10)</f>
        <v>0.295763543392335</v>
      </c>
      <c r="AE10" s="25">
        <f>(LN(D10/PSStrike)+AD10^2/2*C10)/(AD10*SQRT(C10))</f>
        <v>-0.156934925504918</v>
      </c>
      <c r="AF10" s="25">
        <f>AE10-AD10*SQRT(C10)</f>
        <v>-0.398424847447829</v>
      </c>
      <c r="AG10" s="25">
        <f>IF(Phi=1,F10*(D10*NORMSDIST(AE10)-PSStrike*NORMSDIST(AF10)),F10*(PSStrike*NORMSDIST(-AF10)-D10*NORMSDIST(-AE10)))</f>
        <v>4.82136589958065</v>
      </c>
      <c r="AH10" s="25">
        <f>IF(Phi=-1,F10*(D10*NORMSDIST(AE10)-PSStrike*NORMSDIST(AF10)),F10*(PSStrike*NORMSDIST(-AF10)-D10*NORMSDIST(-AE10)))</f>
        <v>9.6993987362125</v>
      </c>
      <c r="AI10" s="29">
        <f>B10*Volume*(AG10-(1-Participation)*AH10)</f>
        <v>-2833.34685255952</v>
      </c>
      <c r="AJ10" s="28">
        <f>CM_VOL(DUStrike,C10)</f>
        <v>0.304782474177401</v>
      </c>
      <c r="AK10" s="25">
        <f>(LN(D10/DUStrike)+AJ10^2/2*C10)/(AJ10*SQRT(C10))</f>
        <v>0.330578348192464</v>
      </c>
      <c r="AL10" s="25">
        <f>AK10-AJ10*SQRT(C10)</f>
        <v>0.0817245000999224</v>
      </c>
      <c r="AM10" s="25">
        <f>IF(Phi=1,F10*(D10*NORMSDIST(AK10)-DUStrike*NORMSDIST(AL10)),F10*(DUStrike*NORMSDIST(-AL10)-D10*NORMSDIST(-AK10)))</f>
        <v>8.69202044161085</v>
      </c>
      <c r="AN10" s="25">
        <f>IF(Phi=-1,F10*(D10*NORMSDIST(AK10)-DUStrike*NORMSDIST(AL10)),F10*(DUStrike*NORMSDIST(-AL10)-D10*NORMSDIST(-AK10)))</f>
        <v>5.17482073680703</v>
      </c>
      <c r="AO10" s="29">
        <f>B10*Volume*(AM10-Leverage*AN10)</f>
        <v>-165762.10320032</v>
      </c>
    </row>
    <row r="11" spans="1:41">
      <c r="A11" s="24">
        <f>ROW()-2</f>
        <v>9</v>
      </c>
      <c r="B11" s="24">
        <f>IF(A11&lt;=NMonths,1,0)</f>
        <v>1</v>
      </c>
      <c r="C11" s="25">
        <f>A11/12</f>
        <v>0.75</v>
      </c>
      <c r="D11" s="26">
        <f>CM_FUTURE(C11)</f>
        <v>71.7</v>
      </c>
      <c r="E11" s="26">
        <f>D11-Front</f>
        <v>-3.3</v>
      </c>
      <c r="F11" s="27">
        <f>CM_DF(C11)</f>
        <v>0.973726320437926</v>
      </c>
      <c r="G11" s="28">
        <f>-LN(F11)/C11</f>
        <v>0.0355000000000001</v>
      </c>
      <c r="H11" s="26">
        <f>D11+Phi*MarginUSD</f>
        <v>71.7</v>
      </c>
      <c r="I11" s="29">
        <f>B11*Volume*F11*Phi*(D11-H11)</f>
        <v>0</v>
      </c>
      <c r="J11" s="28">
        <f>CM_VOL(Protect,C11)</f>
        <v>0.294311130831928</v>
      </c>
      <c r="K11" s="25">
        <f>(LN(D11/Protect)+J11^2/2*C11)/(J11*SQRT(C11))</f>
        <v>-0.0491022454010414</v>
      </c>
      <c r="L11" s="25">
        <f>K11-J11*SQRT(C11)</f>
        <v>-0.303983161318017</v>
      </c>
      <c r="M11" s="25">
        <f>IF(Phi=1,F11*(D11*NORMSDIST(K11)-Protect*NORMSDIST(L11)),F11*(Protect*NORMSDIST(-L11)-D11*NORMSDIST(-K11)))</f>
        <v>5.74815831270169</v>
      </c>
      <c r="N11" s="29">
        <f>B11*Volume*M11</f>
        <v>574815.831270169</v>
      </c>
      <c r="O11" s="28">
        <f>CM_VOL(Giveup,C11)</f>
        <v>0.298814771324448</v>
      </c>
      <c r="P11" s="25">
        <f>(LN(D11/Giveup)+O11^2/2*C11)/(O11*SQRT(C11))</f>
        <v>0.195708264903672</v>
      </c>
      <c r="Q11" s="25">
        <f>P11-O11*SQRT(C11)</f>
        <v>-0.0630729180893378</v>
      </c>
      <c r="R11" s="25">
        <f>IF(Phi=-1,F11*(D11*NORMSDIST(P11)-Giveup*NORMSDIST(Q11)),F11*(Giveup*NORMSDIST(-Q11)-D11*NORMSDIST(-P11)))</f>
        <v>6.54812822090062</v>
      </c>
      <c r="S11" s="29">
        <f>B11*Volume*R11</f>
        <v>654812.822090062</v>
      </c>
      <c r="T11" s="28">
        <f>CM_VOL(Cap3,C11)</f>
        <v>0.295500770604583</v>
      </c>
      <c r="U11" s="25">
        <f>(LN(D11/Cap3)+T11^2/2*C11)/(T11*SQRT(C11))</f>
        <v>-0.760317163998746</v>
      </c>
      <c r="V11" s="25">
        <f>U11-T11*SQRT(C11)</f>
        <v>-1.01622833818019</v>
      </c>
      <c r="W11" s="25">
        <f>IF(Phi=1,F11*(D11*NORMSDIST(U11)-Cap3*NORMSDIST(V11)),F11*(Cap3*NORMSDIST(-V11)-D11*NORMSDIST(-U11)))</f>
        <v>2.04370667397168</v>
      </c>
      <c r="X11" s="29">
        <f>B11*Volume*W11</f>
        <v>204370.667397168</v>
      </c>
      <c r="Y11" s="28">
        <f>CM_VOL(Giveup3,C11)</f>
        <v>0.304759120021279</v>
      </c>
      <c r="Z11" s="25">
        <f>(LN(D11/Giveup3)+Y11^2/2*C11)/(Y11*SQRT(C11))</f>
        <v>0.412226802606998</v>
      </c>
      <c r="AA11" s="25">
        <f>Z11-Y11*SQRT(C11)</f>
        <v>0.148297662633579</v>
      </c>
      <c r="AB11" s="25">
        <f>IF(Phi=-1,F11*(D11*NORMSDIST(Z11)-Giveup3*NORMSDIST(AA11)),F11*(Giveup3*NORMSDIST(-AA11)-D11*NORMSDIST(-Z11)))</f>
        <v>4.8536380529576</v>
      </c>
      <c r="AC11" s="29">
        <f>B11*Volume*AB11</f>
        <v>485363.80529576</v>
      </c>
      <c r="AD11" s="28">
        <f>CM_VOL(PSStrike,C11)</f>
        <v>0.293202708546903</v>
      </c>
      <c r="AE11" s="25">
        <f>(LN(D11/PSStrike)+AD11^2/2*C11)/(AD11*SQRT(C11))</f>
        <v>-0.155391585021559</v>
      </c>
      <c r="AF11" s="25">
        <f>AE11-AD11*SQRT(C11)</f>
        <v>-0.409312579081581</v>
      </c>
      <c r="AG11" s="25">
        <f>IF(Phi=1,F11*(D11*NORMSDIST(AE11)-PSStrike*NORMSDIST(AF11)),F11*(PSStrike*NORMSDIST(-AF11)-D11*NORMSDIST(-AE11)))</f>
        <v>5.00888277460086</v>
      </c>
      <c r="AH11" s="25">
        <f>IF(Phi=-1,F11*(D11*NORMSDIST(AE11)-PSStrike*NORMSDIST(AF11)),F11*(PSStrike*NORMSDIST(-AF11)-D11*NORMSDIST(-AE11)))</f>
        <v>10.1981624541107</v>
      </c>
      <c r="AI11" s="29">
        <f>B11*Volume*(AG11-(1-Participation)*AH11)</f>
        <v>-9019.84524544863</v>
      </c>
      <c r="AJ11" s="28">
        <f>CM_VOL(DUStrike,C11)</f>
        <v>0.301737394875073</v>
      </c>
      <c r="AK11" s="25">
        <f>(LN(D11/DUStrike)+AJ11^2/2*C11)/(AJ11*SQRT(C11))</f>
        <v>0.309229261108651</v>
      </c>
      <c r="AL11" s="25">
        <f>AK11-AJ11*SQRT(C11)</f>
        <v>0.0479170118751013</v>
      </c>
      <c r="AM11" s="25">
        <f>IF(Phi=1,F11*(D11*NORMSDIST(AK11)-DUStrike*NORMSDIST(AL11)),F11*(DUStrike*NORMSDIST(-AL11)-D11*NORMSDIST(-AK11)))</f>
        <v>8.79575583959231</v>
      </c>
      <c r="AN11" s="25">
        <f>IF(Phi=-1,F11*(D11*NORMSDIST(AK11)-DUStrike*NORMSDIST(AL11)),F11*(DUStrike*NORMSDIST(-AL11)-D11*NORMSDIST(-AK11)))</f>
        <v>5.61274187071277</v>
      </c>
      <c r="AO11" s="29">
        <f>B11*Volume*(AM11-Leverage*AN11)</f>
        <v>-242972.790183322</v>
      </c>
    </row>
    <row r="12" spans="1:41">
      <c r="A12" s="24">
        <f>ROW()-2</f>
        <v>10</v>
      </c>
      <c r="B12" s="24">
        <f>IF(A12&lt;=NMonths,1,0)</f>
        <v>1</v>
      </c>
      <c r="C12" s="25">
        <f>A12/12</f>
        <v>0.833333333333333</v>
      </c>
      <c r="D12" s="26">
        <f>CM_FUTURE(C12)</f>
        <v>71.4333333333333</v>
      </c>
      <c r="E12" s="26">
        <f>D12-Front</f>
        <v>-3.56666666666666</v>
      </c>
      <c r="F12" s="27">
        <f>CM_DF(C12)</f>
        <v>0.97111968811227</v>
      </c>
      <c r="G12" s="28">
        <f>-LN(F12)/C12</f>
        <v>0.0351666666666666</v>
      </c>
      <c r="H12" s="26">
        <f>D12+Phi*MarginUSD</f>
        <v>71.4333333333333</v>
      </c>
      <c r="I12" s="29">
        <f>B12*Volume*F12*Phi*(D12-H12)</f>
        <v>0</v>
      </c>
      <c r="J12" s="28">
        <f>CM_VOL(Protect,C12)</f>
        <v>0.290312196541648</v>
      </c>
      <c r="K12" s="25">
        <f>(LN(D12/Protect)+J12^2/2*C12)/(J12*SQRT(C12))</f>
        <v>-0.0513412949427397</v>
      </c>
      <c r="L12" s="25">
        <f>K12-J12*SQRT(C12)</f>
        <v>-0.316358859550629</v>
      </c>
      <c r="M12" s="25">
        <f>IF(Phi=1,F12*(D12*NORMSDIST(K12)-Protect*NORMSDIST(L12)),F12*(Protect*NORMSDIST(-L12)-D12*NORMSDIST(-K12)))</f>
        <v>5.8891768324175</v>
      </c>
      <c r="N12" s="29">
        <f>B12*Volume*M12</f>
        <v>588917.68324175</v>
      </c>
      <c r="O12" s="28">
        <f>CM_VOL(Giveup,C12)</f>
        <v>0.294669854492718</v>
      </c>
      <c r="P12" s="25">
        <f>(LN(D12/Giveup)+O12^2/2*C12)/(O12*SQRT(C12))</f>
        <v>0.184445187383826</v>
      </c>
      <c r="Q12" s="25">
        <f>P12-O12*SQRT(C12)</f>
        <v>-0.0845503564868853</v>
      </c>
      <c r="R12" s="25">
        <f>IF(Phi=-1,F12*(D12*NORMSDIST(P12)-Giveup*NORMSDIST(Q12)),F12*(Giveup*NORMSDIST(-Q12)-D12*NORMSDIST(-P12)))</f>
        <v>6.91871366381771</v>
      </c>
      <c r="S12" s="29">
        <f>B12*Volume*R12</f>
        <v>691871.366381771</v>
      </c>
      <c r="T12" s="28">
        <f>CM_VOL(Cap3,C12)</f>
        <v>0.291443811836109</v>
      </c>
      <c r="U12" s="25">
        <f>(LN(D12/Cap3)+T12^2/2*C12)/(T12*SQRT(C12))</f>
        <v>-0.735400004170846</v>
      </c>
      <c r="V12" s="25">
        <f>U12-T12*SQRT(C12)</f>
        <v>-1.00145058748406</v>
      </c>
      <c r="W12" s="25">
        <f>IF(Phi=1,F12*(D12*NORMSDIST(U12)-Cap3*NORMSDIST(V12)),F12*(Cap3*NORMSDIST(-V12)-D12*NORMSDIST(-U12)))</f>
        <v>2.19193379266711</v>
      </c>
      <c r="X12" s="29">
        <f>B12*Volume*W12</f>
        <v>219193.379266711</v>
      </c>
      <c r="Y12" s="28">
        <f>CM_VOL(Giveup3,C12)</f>
        <v>0.300447136536092</v>
      </c>
      <c r="Z12" s="25">
        <f>(LN(D12/Giveup3)+Y12^2/2*C12)/(Y12*SQRT(C12))</f>
        <v>0.393245040718651</v>
      </c>
      <c r="AA12" s="25">
        <f>Z12-Y12*SQRT(C12)</f>
        <v>0.118975584020897</v>
      </c>
      <c r="AB12" s="25">
        <f>IF(Phi=-1,F12*(D12*NORMSDIST(Z12)-Giveup3*NORMSDIST(AA12)),F12*(Giveup3*NORMSDIST(-AA12)-D12*NORMSDIST(-Z12)))</f>
        <v>5.19401185213923</v>
      </c>
      <c r="AC12" s="29">
        <f>B12*Volume*AB12</f>
        <v>519401.185213923</v>
      </c>
      <c r="AD12" s="28">
        <f>CM_VOL(PSStrike,C12)</f>
        <v>0.28923723639576</v>
      </c>
      <c r="AE12" s="25">
        <f>(LN(D12/PSStrike)+AD12^2/2*C12)/(AD12*SQRT(C12))</f>
        <v>-0.153629201785352</v>
      </c>
      <c r="AF12" s="25">
        <f>AE12-AD12*SQRT(C12)</f>
        <v>-0.417665466526039</v>
      </c>
      <c r="AG12" s="25">
        <f>IF(Phi=1,F12*(D12*NORMSDIST(AE12)-PSStrike*NORMSDIST(AF12)),F12*(PSStrike*NORMSDIST(-AF12)-D12*NORMSDIST(-AE12)))</f>
        <v>5.15902425477426</v>
      </c>
      <c r="AH12" s="25">
        <f>IF(Phi=-1,F12*(D12*NORMSDIST(AE12)-PSStrike*NORMSDIST(AF12)),F12*(PSStrike*NORMSDIST(-AF12)-D12*NORMSDIST(-AE12)))</f>
        <v>10.5933776587943</v>
      </c>
      <c r="AI12" s="29">
        <f>B12*Volume*(AG12-(1-Participation)*AH12)</f>
        <v>-13766.4574622865</v>
      </c>
      <c r="AJ12" s="28">
        <f>CM_VOL(DUStrike,C12)</f>
        <v>0.297505194470282</v>
      </c>
      <c r="AK12" s="25">
        <f>(LN(D12/DUStrike)+AJ12^2/2*C12)/(AJ12*SQRT(C12))</f>
        <v>0.293891216634804</v>
      </c>
      <c r="AL12" s="25">
        <f>AK12-AJ12*SQRT(C12)</f>
        <v>0.0223073733242461</v>
      </c>
      <c r="AM12" s="25">
        <f>IF(Phi=1,F12*(D12*NORMSDIST(AK12)-DUStrike*NORMSDIST(AL12)),F12*(DUStrike*NORMSDIST(-AL12)-D12*NORMSDIST(-AK12)))</f>
        <v>8.88419372367432</v>
      </c>
      <c r="AN12" s="25">
        <f>IF(Phi=-1,F12*(D12*NORMSDIST(AK12)-DUStrike*NORMSDIST(AL12)),F12*(DUStrike*NORMSDIST(-AL12)-D12*NORMSDIST(-AK12)))</f>
        <v>5.96866582536739</v>
      </c>
      <c r="AO12" s="29">
        <f>B12*Volume*(AM12-Leverage*AN12)</f>
        <v>-305313.792706045</v>
      </c>
    </row>
    <row r="13" spans="1:41">
      <c r="A13" s="24">
        <f>ROW()-2</f>
        <v>11</v>
      </c>
      <c r="B13" s="24">
        <f>IF(A13&lt;=NMonths,1,0)</f>
        <v>1</v>
      </c>
      <c r="C13" s="25">
        <f>A13/12</f>
        <v>0.916666666666667</v>
      </c>
      <c r="D13" s="26">
        <f>CM_FUTURE(C13)</f>
        <v>71.1666666666667</v>
      </c>
      <c r="E13" s="26">
        <f>D13-Front</f>
        <v>-3.83333333333333</v>
      </c>
      <c r="F13" s="27">
        <f>CM_DF(C13)</f>
        <v>0.968573841816111</v>
      </c>
      <c r="G13" s="28">
        <f>-LN(F13)/C13</f>
        <v>0.0348333333333333</v>
      </c>
      <c r="H13" s="26">
        <f>D13+Phi*MarginUSD</f>
        <v>71.1666666666667</v>
      </c>
      <c r="I13" s="29">
        <f>B13*Volume*F13*Phi*(D13-H13)</f>
        <v>0</v>
      </c>
      <c r="J13" s="28">
        <f>CM_VOL(Protect,C13)</f>
        <v>0.286992419516874</v>
      </c>
      <c r="K13" s="25">
        <f>(LN(D13/Protect)+J13^2/2*C13)/(J13*SQRT(C13))</f>
        <v>-0.0535461441915536</v>
      </c>
      <c r="L13" s="25">
        <f>K13-J13*SQRT(C13)</f>
        <v>-0.328320466357588</v>
      </c>
      <c r="M13" s="25">
        <f>IF(Phi=1,F13*(D13*NORMSDIST(K13)-Protect*NORMSDIST(L13)),F13*(Protect*NORMSDIST(-L13)-D13*NORMSDIST(-K13)))</f>
        <v>6.01843550504937</v>
      </c>
      <c r="N13" s="29">
        <f>B13*Volume*M13</f>
        <v>601843.550504937</v>
      </c>
      <c r="O13" s="28">
        <f>CM_VOL(Giveup,C13)</f>
        <v>0.291220589961402</v>
      </c>
      <c r="P13" s="25">
        <f>(LN(D13/Giveup)+O13^2/2*C13)/(O13*SQRT(C13))</f>
        <v>0.174184487560471</v>
      </c>
      <c r="Q13" s="25">
        <f>P13-O13*SQRT(C13)</f>
        <v>-0.104637999605368</v>
      </c>
      <c r="R13" s="25">
        <f>IF(Phi=-1,F13*(D13*NORMSDIST(P13)-Giveup*NORMSDIST(Q13)),F13*(Giveup*NORMSDIST(-Q13)-D13*NORMSDIST(-P13)))</f>
        <v>7.27777356263181</v>
      </c>
      <c r="S13" s="29">
        <f>B13*Volume*R13</f>
        <v>727777.356263181</v>
      </c>
      <c r="T13" s="28">
        <f>CM_VOL(Cap3,C13)</f>
        <v>0.288080809775975</v>
      </c>
      <c r="U13" s="25">
        <f>(LN(D13/Cap3)+T13^2/2*C13)/(T13*SQRT(C13))</f>
        <v>-0.713328889494085</v>
      </c>
      <c r="V13" s="25">
        <f>U13-T13*SQRT(C13)</f>
        <v>-0.989145265998001</v>
      </c>
      <c r="W13" s="25">
        <f>IF(Phi=1,F13*(D13*NORMSDIST(U13)-Cap3*NORMSDIST(V13)),F13*(Cap3*NORMSDIST(-V13)-D13*NORMSDIST(-U13)))</f>
        <v>2.33261052953682</v>
      </c>
      <c r="X13" s="29">
        <f>B13*Volume*W13</f>
        <v>233261.052953682</v>
      </c>
      <c r="Y13" s="28">
        <f>CM_VOL(Giveup3,C13)</f>
        <v>0.296850146091115</v>
      </c>
      <c r="Z13" s="25">
        <f>(LN(D13/Giveup3)+Y13^2/2*C13)/(Y13*SQRT(C13))</f>
        <v>0.376097287469776</v>
      </c>
      <c r="AA13" s="25">
        <f>Z13-Y13*SQRT(C13)</f>
        <v>0.0918849106607136</v>
      </c>
      <c r="AB13" s="25">
        <f>IF(Phi=-1,F13*(D13*NORMSDIST(Z13)-Giveup3*NORMSDIST(AA13)),F13*(Giveup3*NORMSDIST(-AA13)-D13*NORMSDIST(-Z13)))</f>
        <v>5.5252781992519</v>
      </c>
      <c r="AC13" s="29">
        <f>B13*Volume*AB13</f>
        <v>552527.81992519</v>
      </c>
      <c r="AD13" s="28">
        <f>CM_VOL(PSStrike,C13)</f>
        <v>0.285947996586389</v>
      </c>
      <c r="AE13" s="25">
        <f>(LN(D13/PSStrike)+AD13^2/2*C13)/(AD13*SQRT(C13))</f>
        <v>-0.152260874373382</v>
      </c>
      <c r="AF13" s="25">
        <f>AE13-AD13*SQRT(C13)</f>
        <v>-0.426035237713807</v>
      </c>
      <c r="AG13" s="25">
        <f>IF(Phi=1,F13*(D13*NORMSDIST(AE13)-PSStrike*NORMSDIST(AF13)),F13*(PSStrike*NORMSDIST(-AF13)-D13*NORMSDIST(-AE13)))</f>
        <v>5.29722738685774</v>
      </c>
      <c r="AH13" s="25">
        <f>IF(Phi=-1,F13*(D13*NORMSDIST(AE13)-PSStrike*NORMSDIST(AF13)),F13*(PSStrike*NORMSDIST(-AF13)-D13*NORMSDIST(-AE13)))</f>
        <v>10.9756206776836</v>
      </c>
      <c r="AI13" s="29">
        <f>B13*Volume*(AG13-(1-Participation)*AH13)</f>
        <v>-19058.2951984057</v>
      </c>
      <c r="AJ13" s="28">
        <f>CM_VOL(DUStrike,C13)</f>
        <v>0.293978868912917</v>
      </c>
      <c r="AK13" s="25">
        <f>(LN(D13/DUStrike)+AJ13^2/2*C13)/(AJ13*SQRT(C13))</f>
        <v>0.279993658228159</v>
      </c>
      <c r="AL13" s="25">
        <f>AK13-AJ13*SQRT(C13)</f>
        <v>-0.00146967997661507</v>
      </c>
      <c r="AM13" s="25">
        <f>IF(Phi=1,F13*(D13*NORMSDIST(AK13)-DUStrike*NORMSDIST(AL13)),F13*(DUStrike*NORMSDIST(-AL13)-D13*NORMSDIST(-AK13)))</f>
        <v>8.96381964381204</v>
      </c>
      <c r="AN13" s="25">
        <f>IF(Phi=-1,F13*(D13*NORMSDIST(AK13)-DUStrike*NORMSDIST(AL13)),F13*(DUStrike*NORMSDIST(-AL13)-D13*NORMSDIST(-AK13)))</f>
        <v>6.31422132793462</v>
      </c>
      <c r="AO13" s="29">
        <f>B13*Volume*(AM13-Leverage*AN13)</f>
        <v>-366462.301205719</v>
      </c>
    </row>
    <row r="14" spans="1:41">
      <c r="A14" s="24">
        <f>ROW()-2</f>
        <v>12</v>
      </c>
      <c r="B14" s="24">
        <f>IF(A14&lt;=NMonths,1,0)</f>
        <v>1</v>
      </c>
      <c r="C14" s="25">
        <f>A14/12</f>
        <v>1</v>
      </c>
      <c r="D14" s="26">
        <f>CM_FUTURE(C14)</f>
        <v>70.9</v>
      </c>
      <c r="E14" s="26">
        <f>D14-Front</f>
        <v>-4.09999999999999</v>
      </c>
      <c r="F14" s="27">
        <f>CM_DF(C14)</f>
        <v>0.966088339686492</v>
      </c>
      <c r="G14" s="28">
        <f>-LN(F14)/C14</f>
        <v>0.0345</v>
      </c>
      <c r="H14" s="26">
        <f>D14+Phi*MarginUSD</f>
        <v>70.9</v>
      </c>
      <c r="I14" s="29">
        <f>B14*Volume*F14*Phi*(D14-H14)</f>
        <v>0</v>
      </c>
      <c r="J14" s="28">
        <f>CM_VOL(Protect,C14)</f>
        <v>0.284190251232435</v>
      </c>
      <c r="K14" s="25">
        <f>(LN(D14/Protect)+J14^2/2*C14)/(J14*SQRT(C14))</f>
        <v>-0.0557219344498186</v>
      </c>
      <c r="L14" s="25">
        <f>K14-J14*SQRT(C14)</f>
        <v>-0.339912185682254</v>
      </c>
      <c r="M14" s="25">
        <f>IF(Phi=1,F14*(D14*NORMSDIST(K14)-Protect*NORMSDIST(L14)),F14*(Protect*NORMSDIST(-L14)-D14*NORMSDIST(-K14)))</f>
        <v>6.13719225581439</v>
      </c>
      <c r="N14" s="29">
        <f>B14*Volume*M14</f>
        <v>613719.225581439</v>
      </c>
      <c r="O14" s="28">
        <f>CM_VOL(Giveup,C14)</f>
        <v>0.288302380514272</v>
      </c>
      <c r="P14" s="25">
        <f>(LN(D14/Giveup)+O14^2/2*C14)/(O14*SQRT(C14))</f>
        <v>0.164759594182069</v>
      </c>
      <c r="Q14" s="25">
        <f>P14-O14*SQRT(C14)</f>
        <v>-0.123542786332203</v>
      </c>
      <c r="R14" s="25">
        <f>IF(Phi=-1,F14*(D14*NORMSDIST(P14)-Giveup*NORMSDIST(Q14)),F14*(Giveup*NORMSDIST(-Q14)-D14*NORMSDIST(-P14)))</f>
        <v>7.62641716499348</v>
      </c>
      <c r="S14" s="29">
        <f>B14*Volume*R14</f>
        <v>762641.716499348</v>
      </c>
      <c r="T14" s="28">
        <f>CM_VOL(Cap3,C14)</f>
        <v>0.28524755221349</v>
      </c>
      <c r="U14" s="25">
        <f>(LN(D14/Cap3)+T14^2/2*C14)/(T14*SQRT(C14))</f>
        <v>-0.693629628843251</v>
      </c>
      <c r="V14" s="25">
        <f>U14-T14*SQRT(C14)</f>
        <v>-0.978877181056742</v>
      </c>
      <c r="W14" s="25">
        <f>IF(Phi=1,F14*(D14*NORMSDIST(U14)-Cap3*NORMSDIST(V14)),F14*(Cap3*NORMSDIST(-V14)-D14*NORMSDIST(-U14)))</f>
        <v>2.46617160087145</v>
      </c>
      <c r="X14" s="29">
        <f>B14*Volume*W14</f>
        <v>246617.160087145</v>
      </c>
      <c r="Y14" s="28">
        <f>CM_VOL(Giveup3,C14)</f>
        <v>0.293800109561836</v>
      </c>
      <c r="Z14" s="25">
        <f>(LN(D14/Giveup3)+Y14^2/2*C14)/(Y14*SQRT(C14))</f>
        <v>0.360477429032385</v>
      </c>
      <c r="AA14" s="25">
        <f>Z14-Y14*SQRT(C14)</f>
        <v>0.0666773194705491</v>
      </c>
      <c r="AB14" s="25">
        <f>IF(Phi=-1,F14*(D14*NORMSDIST(Z14)-Giveup3*NORMSDIST(AA14)),F14*(Giveup3*NORMSDIST(-AA14)-D14*NORMSDIST(-Z14)))</f>
        <v>5.84819078709479</v>
      </c>
      <c r="AC14" s="29">
        <f>B14*Volume*AB14</f>
        <v>584819.078709479</v>
      </c>
      <c r="AD14" s="28">
        <f>CM_VOL(PSStrike,C14)</f>
        <v>0.283173940360345</v>
      </c>
      <c r="AE14" s="25">
        <f>(LN(D14/PSStrike)+AD14^2/2*C14)/(AD14*SQRT(C14))</f>
        <v>-0.151220465812817</v>
      </c>
      <c r="AF14" s="25">
        <f>AE14-AD14*SQRT(C14)</f>
        <v>-0.434394406173162</v>
      </c>
      <c r="AG14" s="25">
        <f>IF(Phi=1,F14*(D14*NORMSDIST(AE14)-PSStrike*NORMSDIST(AF14)),F14*(PSStrike*NORMSDIST(-AF14)-D14*NORMSDIST(-AE14)))</f>
        <v>5.42474749524786</v>
      </c>
      <c r="AH14" s="25">
        <f>IF(Phi=-1,F14*(D14*NORMSDIST(AE14)-PSStrike*NORMSDIST(AF14)),F14*(PSStrike*NORMSDIST(-AF14)-D14*NORMSDIST(-AE14)))</f>
        <v>11.3461927556883</v>
      </c>
      <c r="AI14" s="29">
        <f>B14*Volume*(AG14-(1-Participation)*AH14)</f>
        <v>-24834.888259628</v>
      </c>
      <c r="AJ14" s="28">
        <f>CM_VOL(DUStrike,C14)</f>
        <v>0.29099196465763</v>
      </c>
      <c r="AK14" s="25">
        <f>(LN(D14/DUStrike)+AJ14^2/2*C14)/(AJ14*SQRT(C14))</f>
        <v>0.267296712887097</v>
      </c>
      <c r="AL14" s="25">
        <f>AK14-AJ14*SQRT(C14)</f>
        <v>-0.0236952517705327</v>
      </c>
      <c r="AM14" s="25">
        <f>IF(Phi=1,F14*(D14*NORMSDIST(AK14)-DUStrike*NORMSDIST(AL14)),F14*(DUStrike*NORMSDIST(-AL14)-D14*NORMSDIST(-AK14)))</f>
        <v>9.03552263883797</v>
      </c>
      <c r="AN14" s="25">
        <f>IF(Phi=-1,F14*(D14*NORMSDIST(AK14)-DUStrike*NORMSDIST(AL14)),F14*(DUStrike*NORMSDIST(-AL14)-D14*NORMSDIST(-AK14)))</f>
        <v>6.65034713698598</v>
      </c>
      <c r="AO14" s="29">
        <f>B14*Volume*(AM14-Leverage*AN14)</f>
        <v>-426517.163513399</v>
      </c>
    </row>
    <row r="15" spans="1:41">
      <c r="A15" s="24">
        <f>ROW()-2</f>
        <v>13</v>
      </c>
      <c r="B15" s="24">
        <f>IF(A15&lt;=NMonths,1,0)</f>
        <v>0</v>
      </c>
      <c r="C15" s="25">
        <f>A15/12</f>
        <v>1.08333333333333</v>
      </c>
      <c r="D15" s="26">
        <f>CM_FUTURE(C15)</f>
        <v>70.7</v>
      </c>
      <c r="E15" s="26">
        <f>D15-Front</f>
        <v>-4.3</v>
      </c>
      <c r="F15" s="27">
        <f>CM_DF(C15)</f>
        <v>0.963488772094753</v>
      </c>
      <c r="G15" s="28">
        <f>-LN(F15)/C15</f>
        <v>0.0343333333333334</v>
      </c>
      <c r="H15" s="26">
        <f>D15+Phi*MarginUSD</f>
        <v>70.7</v>
      </c>
      <c r="I15" s="29">
        <f>B15*Volume*F15*Phi*(D15-H15)</f>
        <v>0</v>
      </c>
      <c r="J15" s="28">
        <f>CM_VOL(Protect,C15)</f>
        <v>0.281930191375247</v>
      </c>
      <c r="K15" s="25">
        <f>(LN(D15/Protect)+J15^2/2*C15)/(J15*SQRT(C15))</f>
        <v>-0.0544855579013747</v>
      </c>
      <c r="L15" s="25">
        <f>K15-J15*SQRT(C15)</f>
        <v>-0.347927804705791</v>
      </c>
      <c r="M15" s="25">
        <f>IF(Phi=1,F15*(D15*NORMSDIST(K15)-Protect*NORMSDIST(L15)),F15*(Protect*NORMSDIST(-L15)-D15*NORMSDIST(-K15)))</f>
        <v>6.27996470746576</v>
      </c>
      <c r="N15" s="29">
        <f>B15*Volume*M15</f>
        <v>0</v>
      </c>
      <c r="O15" s="28">
        <f>CM_VOL(Giveup,C15)</f>
        <v>0.285894826662479</v>
      </c>
      <c r="P15" s="25">
        <f>(LN(D15/Giveup)+O15^2/2*C15)/(O15*SQRT(C15))</f>
        <v>0.159257901023164</v>
      </c>
      <c r="Q15" s="25">
        <f>P15-O15*SQRT(C15)</f>
        <v>-0.138310869020109</v>
      </c>
      <c r="R15" s="25">
        <f>IF(Phi=-1,F15*(D15*NORMSDIST(P15)-Giveup*NORMSDIST(Q15)),F15*(Giveup*NORMSDIST(-Q15)-D15*NORMSDIST(-P15)))</f>
        <v>7.93873651223005</v>
      </c>
      <c r="S15" s="29">
        <f>B15*Volume*R15</f>
        <v>0</v>
      </c>
      <c r="T15" s="28">
        <f>CM_VOL(Cap3,C15)</f>
        <v>0.282706601324586</v>
      </c>
      <c r="U15" s="25">
        <f>(LN(D15/Cap3)+T15^2/2*C15)/(T15*SQRT(C15))</f>
        <v>-0.673142627058933</v>
      </c>
      <c r="V15" s="25">
        <f>U15-T15*SQRT(C15)</f>
        <v>-0.967392986959942</v>
      </c>
      <c r="W15" s="25">
        <f>IF(Phi=1,F15*(D15*NORMSDIST(U15)-Cap3*NORMSDIST(V15)),F15*(Cap3*NORMSDIST(-V15)-D15*NORMSDIST(-U15)))</f>
        <v>2.60588703509291</v>
      </c>
      <c r="X15" s="29">
        <f>B15*Volume*W15</f>
        <v>0</v>
      </c>
      <c r="Y15" s="28">
        <f>CM_VOL(Giveup3,C15)</f>
        <v>0.291169314597247</v>
      </c>
      <c r="Z15" s="25">
        <f>(LN(D15/Giveup3)+Y15^2/2*C15)/(Y15*SQRT(C15))</f>
        <v>0.349260675650151</v>
      </c>
      <c r="AA15" s="25">
        <f>Z15-Y15*SQRT(C15)</f>
        <v>0.0462020445076784</v>
      </c>
      <c r="AB15" s="25">
        <f>IF(Phi=-1,F15*(D15*NORMSDIST(Z15)-Giveup3*NORMSDIST(AA15)),F15*(Giveup3*NORMSDIST(-AA15)-D15*NORMSDIST(-Z15)))</f>
        <v>6.13868004366465</v>
      </c>
      <c r="AC15" s="29">
        <f>B15*Volume*AB15</f>
        <v>0</v>
      </c>
      <c r="AD15" s="28">
        <f>CM_VOL(PSStrike,C15)</f>
        <v>0.280932468623786</v>
      </c>
      <c r="AE15" s="25">
        <f>(LN(D15/PSStrike)+AD15^2/2*C15)/(AD15*SQRT(C15))</f>
        <v>-0.147023779918368</v>
      </c>
      <c r="AF15" s="25">
        <f>AE15-AD15*SQRT(C15)</f>
        <v>-0.439427563958479</v>
      </c>
      <c r="AG15" s="25">
        <f>IF(Phi=1,F15*(D15*NORMSDIST(AE15)-PSStrike*NORMSDIST(AF15)),F15*(PSStrike*NORMSDIST(-AF15)-D15*NORMSDIST(-AE15)))</f>
        <v>5.57362510028893</v>
      </c>
      <c r="AH15" s="25">
        <f>IF(Phi=-1,F15*(D15*NORMSDIST(AE15)-PSStrike*NORMSDIST(AF15)),F15*(PSStrike*NORMSDIST(-AF15)-D15*NORMSDIST(-AE15)))</f>
        <v>11.6718345855082</v>
      </c>
      <c r="AI15" s="29">
        <f>B15*Volume*(AG15-(1-Participation)*AH15)</f>
        <v>0</v>
      </c>
      <c r="AJ15" s="28">
        <f>CM_VOL(DUStrike,C15)</f>
        <v>0.288474931095579</v>
      </c>
      <c r="AK15" s="25">
        <f>(LN(D15/DUStrike)+AJ15^2/2*C15)/(AJ15*SQRT(C15))</f>
        <v>0.258762297786172</v>
      </c>
      <c r="AL15" s="25">
        <f>AK15-AJ15*SQRT(C15)</f>
        <v>-0.0414919300938292</v>
      </c>
      <c r="AM15" s="25">
        <f>IF(Phi=1,F15*(D15*NORMSDIST(AK15)-DUStrike*NORMSDIST(AL15)),F15*(DUStrike*NORMSDIST(-AL15)-D15*NORMSDIST(-AK15)))</f>
        <v>9.13837108572279</v>
      </c>
      <c r="AN15" s="25">
        <f>IF(Phi=-1,F15*(D15*NORMSDIST(AK15)-DUStrike*NORMSDIST(AL15)),F15*(DUStrike*NORMSDIST(-AL15)-D15*NORMSDIST(-AK15)))</f>
        <v>6.95231141071701</v>
      </c>
      <c r="AO15" s="29">
        <f>B15*Volume*(AM15-Leverage*AN15)</f>
        <v>0</v>
      </c>
    </row>
    <row r="16" spans="1:41">
      <c r="A16" s="24">
        <f>ROW()-2</f>
        <v>14</v>
      </c>
      <c r="B16" s="24">
        <f>IF(A16&lt;=NMonths,1,0)</f>
        <v>0</v>
      </c>
      <c r="C16" s="25">
        <f>A16/12</f>
        <v>1.16666666666667</v>
      </c>
      <c r="D16" s="26">
        <f>CM_FUTURE(C16)</f>
        <v>70.5</v>
      </c>
      <c r="E16" s="26">
        <f>D16-Front</f>
        <v>-4.5</v>
      </c>
      <c r="F16" s="27">
        <f>CM_DF(C16)</f>
        <v>0.960922891397286</v>
      </c>
      <c r="G16" s="28">
        <f>-LN(F16)/C16</f>
        <v>0.0341666666666667</v>
      </c>
      <c r="H16" s="26">
        <f>D16+Phi*MarginUSD</f>
        <v>70.5</v>
      </c>
      <c r="I16" s="29">
        <f>B16*Volume*F16*Phi*(D16-H16)</f>
        <v>0</v>
      </c>
      <c r="J16" s="28">
        <f>CM_VOL(Protect,C16)</f>
        <v>0.27997870139326</v>
      </c>
      <c r="K16" s="25">
        <f>(LN(D16/Protect)+J16^2/2*C16)/(J16*SQRT(C16))</f>
        <v>-0.0534008277402645</v>
      </c>
      <c r="L16" s="25">
        <f>K16-J16*SQRT(C16)</f>
        <v>-0.355812388541378</v>
      </c>
      <c r="M16" s="25">
        <f>IF(Phi=1,F16*(D16*NORMSDIST(K16)-Protect*NORMSDIST(L16)),F16*(Protect*NORMSDIST(-L16)-D16*NORMSDIST(-K16)))</f>
        <v>6.41368184039406</v>
      </c>
      <c r="N16" s="29">
        <f>B16*Volume*M16</f>
        <v>0</v>
      </c>
      <c r="O16" s="28">
        <f>CM_VOL(Giveup,C16)</f>
        <v>0.283809587939958</v>
      </c>
      <c r="P16" s="25">
        <f>(LN(D16/Giveup)+O16^2/2*C16)/(O16*SQRT(C16))</f>
        <v>0.154200250167876</v>
      </c>
      <c r="Q16" s="25">
        <f>P16-O16*SQRT(C16)</f>
        <v>-0.152349141025599</v>
      </c>
      <c r="R16" s="25">
        <f>IF(Phi=-1,F16*(D16*NORMSDIST(P16)-Giveup*NORMSDIST(Q16)),F16*(Giveup*NORMSDIST(-Q16)-D16*NORMSDIST(-P16)))</f>
        <v>8.24181526669994</v>
      </c>
      <c r="S16" s="29">
        <f>B16*Volume*R16</f>
        <v>0</v>
      </c>
      <c r="T16" s="28">
        <f>CM_VOL(Cap3,C16)</f>
        <v>0.280508430918545</v>
      </c>
      <c r="U16" s="25">
        <f>(LN(D16/Cap3)+T16^2/2*C16)/(T16*SQRT(C16))</f>
        <v>-0.654481962711261</v>
      </c>
      <c r="V16" s="25">
        <f>U16-T16*SQRT(C16)</f>
        <v>-0.957465696794652</v>
      </c>
      <c r="W16" s="25">
        <f>IF(Phi=1,F16*(D16*NORMSDIST(U16)-Cap3*NORMSDIST(V16)),F16*(Cap3*NORMSDIST(-V16)-D16*NORMSDIST(-U16)))</f>
        <v>2.73987561356459</v>
      </c>
      <c r="X16" s="29">
        <f>B16*Volume*W16</f>
        <v>0</v>
      </c>
      <c r="Y16" s="28">
        <f>CM_VOL(Giveup3,C16)</f>
        <v>0.288882446284609</v>
      </c>
      <c r="Z16" s="25">
        <f>(LN(D16/Giveup3)+Y16^2/2*C16)/(Y16*SQRT(C16))</f>
        <v>0.338982558101502</v>
      </c>
      <c r="AA16" s="25">
        <f>Z16-Y16*SQRT(C16)</f>
        <v>0.0269538536527871</v>
      </c>
      <c r="AB16" s="25">
        <f>IF(Phi=-1,F16*(D16*NORMSDIST(Z16)-Giveup3*NORMSDIST(AA16)),F16*(Giveup3*NORMSDIST(-AA16)-D16*NORMSDIST(-Z16)))</f>
        <v>6.42137663790517</v>
      </c>
      <c r="AC16" s="29">
        <f>B16*Volume*AB16</f>
        <v>0</v>
      </c>
      <c r="AD16" s="28">
        <f>CM_VOL(PSStrike,C16)</f>
        <v>0.278998824984923</v>
      </c>
      <c r="AE16" s="25">
        <f>(LN(D16/PSStrike)+AD16^2/2*C16)/(AD16*SQRT(C16))</f>
        <v>-0.143241536595129</v>
      </c>
      <c r="AF16" s="25">
        <f>AE16-AD16*SQRT(C16)</f>
        <v>-0.444594709909757</v>
      </c>
      <c r="AG16" s="25">
        <f>IF(Phi=1,F16*(D16*NORMSDIST(AE16)-PSStrike*NORMSDIST(AF16)),F16*(PSStrike*NORMSDIST(-AF16)-D16*NORMSDIST(-AE16)))</f>
        <v>5.71345299448608</v>
      </c>
      <c r="AH16" s="25">
        <f>IF(Phi=-1,F16*(D16*NORMSDIST(AE16)-PSStrike*NORMSDIST(AF16)),F16*(PSStrike*NORMSDIST(-AF16)-D16*NORMSDIST(-AE16)))</f>
        <v>11.9876068292864</v>
      </c>
      <c r="AI16" s="29">
        <f>B16*Volume*(AG16-(1-Participation)*AH16)</f>
        <v>0</v>
      </c>
      <c r="AJ16" s="28">
        <f>CM_VOL(DUStrike,C16)</f>
        <v>0.286290947282044</v>
      </c>
      <c r="AK16" s="25">
        <f>(LN(D16/DUStrike)+AJ16^2/2*C16)/(AJ16*SQRT(C16))</f>
        <v>0.250935812468014</v>
      </c>
      <c r="AL16" s="25">
        <f>AK16-AJ16*SQRT(C16)</f>
        <v>-0.0582937531380663</v>
      </c>
      <c r="AM16" s="25">
        <f>IF(Phi=1,F16*(D16*NORMSDIST(AK16)-DUStrike*NORMSDIST(AL16)),F16*(DUStrike*NORMSDIST(-AL16)-D16*NORMSDIST(-AK16)))</f>
        <v>9.23377266512086</v>
      </c>
      <c r="AN16" s="25">
        <f>IF(Phi=-1,F16*(D16*NORMSDIST(AK16)-DUStrike*NORMSDIST(AL16)),F16*(DUStrike*NORMSDIST(-AL16)-D16*NORMSDIST(-AK16)))</f>
        <v>7.24571929510901</v>
      </c>
      <c r="AO16" s="29">
        <f>B16*Volume*(AM16-Leverage*AN16)</f>
        <v>0</v>
      </c>
    </row>
    <row r="17" spans="1:41">
      <c r="A17" s="24">
        <f>ROW()-2</f>
        <v>15</v>
      </c>
      <c r="B17" s="24">
        <f>IF(A17&lt;=NMonths,1,0)</f>
        <v>0</v>
      </c>
      <c r="C17" s="25">
        <f>A17/12</f>
        <v>1.25</v>
      </c>
      <c r="D17" s="26">
        <f>CM_FUTURE(C17)</f>
        <v>70.3</v>
      </c>
      <c r="E17" s="26">
        <f>D17-Front</f>
        <v>-4.7</v>
      </c>
      <c r="F17" s="27">
        <f>CM_DF(C17)</f>
        <v>0.958390465520947</v>
      </c>
      <c r="G17" s="28">
        <f>-LN(F17)/C17</f>
        <v>0.034</v>
      </c>
      <c r="H17" s="26">
        <f>D17+Phi*MarginUSD</f>
        <v>70.3</v>
      </c>
      <c r="I17" s="29">
        <f>B17*Volume*F17*Phi*(D17-H17)</f>
        <v>0</v>
      </c>
      <c r="J17" s="28">
        <f>CM_VOL(Protect,C17)</f>
        <v>0.27827642809337</v>
      </c>
      <c r="K17" s="25">
        <f>(LN(D17/Protect)+J17^2/2*C17)/(J17*SQRT(C17))</f>
        <v>-0.0524478555671373</v>
      </c>
      <c r="L17" s="25">
        <f>K17-J17*SQRT(C17)</f>
        <v>-0.363570360443441</v>
      </c>
      <c r="M17" s="25">
        <f>IF(Phi=1,F17*(D17*NORMSDIST(K17)-Protect*NORMSDIST(L17)),F17*(Protect*NORMSDIST(-L17)-D17*NORMSDIST(-K17)))</f>
        <v>6.53912970179251</v>
      </c>
      <c r="N17" s="29">
        <f>B17*Volume*M17</f>
        <v>0</v>
      </c>
      <c r="O17" s="28">
        <f>CM_VOL(Giveup,C17)</f>
        <v>0.281985297823187</v>
      </c>
      <c r="P17" s="25">
        <f>(LN(D17/Giveup)+O17^2/2*C17)/(O17*SQRT(C17))</f>
        <v>0.149523463399646</v>
      </c>
      <c r="Q17" s="25">
        <f>P17-O17*SQRT(C17)</f>
        <v>-0.165745683894439</v>
      </c>
      <c r="R17" s="25">
        <f>IF(Phi=-1,F17*(D17*NORMSDIST(P17)-Giveup*NORMSDIST(Q17)),F17*(Giveup*NORMSDIST(-Q17)-D17*NORMSDIST(-P17)))</f>
        <v>8.53638779733909</v>
      </c>
      <c r="S17" s="29">
        <f>B17*Volume*R17</f>
        <v>0</v>
      </c>
      <c r="T17" s="28">
        <f>CM_VOL(Cap3,C17)</f>
        <v>0.278588456465406</v>
      </c>
      <c r="U17" s="25">
        <f>(LN(D17/Cap3)+T17^2/2*C17)/(T17*SQRT(C17))</f>
        <v>-0.637396210121976</v>
      </c>
      <c r="V17" s="25">
        <f>U17-T17*SQRT(C17)</f>
        <v>-0.94886757332367</v>
      </c>
      <c r="W17" s="25">
        <f>IF(Phi=1,F17*(D17*NORMSDIST(U17)-Cap3*NORMSDIST(V17)),F17*(Cap3*NORMSDIST(-V17)-D17*NORMSDIST(-U17)))</f>
        <v>2.86842366106855</v>
      </c>
      <c r="X17" s="29">
        <f>B17*Volume*W17</f>
        <v>0</v>
      </c>
      <c r="Y17" s="28">
        <f>CM_VOL(Giveup3,C17)</f>
        <v>0.286874954375207</v>
      </c>
      <c r="Z17" s="25">
        <f>(LN(D17/Giveup3)+Y17^2/2*C17)/(Y17*SQRT(C17))</f>
        <v>0.329511537602898</v>
      </c>
      <c r="AA17" s="25">
        <f>Z17-Y17*SQRT(C17)</f>
        <v>0.00877558809034157</v>
      </c>
      <c r="AB17" s="25">
        <f>IF(Phi=-1,F17*(D17*NORMSDIST(Z17)-Giveup3*NORMSDIST(AA17)),F17*(Giveup3*NORMSDIST(-AA17)-D17*NORMSDIST(-Z17)))</f>
        <v>6.69684849799799</v>
      </c>
      <c r="AC17" s="29">
        <f>B17*Volume*AB17</f>
        <v>0</v>
      </c>
      <c r="AD17" s="28">
        <f>CM_VOL(PSStrike,C17)</f>
        <v>0.277313674311088</v>
      </c>
      <c r="AE17" s="25">
        <f>(LN(D17/PSStrike)+AD17^2/2*C17)/(AD17*SQRT(C17))</f>
        <v>-0.139817182142998</v>
      </c>
      <c r="AF17" s="25">
        <f>AE17-AD17*SQRT(C17)</f>
        <v>-0.449863295567912</v>
      </c>
      <c r="AG17" s="25">
        <f>IF(Phi=1,F17*(D17*NORMSDIST(AE17)-PSStrike*NORMSDIST(AF17)),F17*(PSStrike*NORMSDIST(-AF17)-D17*NORMSDIST(-AE17)))</f>
        <v>5.84499846224317</v>
      </c>
      <c r="AH17" s="25">
        <f>IF(Phi=-1,F17*(D17*NORMSDIST(AE17)-PSStrike*NORMSDIST(AF17)),F17*(PSStrike*NORMSDIST(-AF17)-D17*NORMSDIST(-AE17)))</f>
        <v>12.2942954218733</v>
      </c>
      <c r="AI17" s="29">
        <f>B17*Volume*(AG17-(1-Participation)*AH17)</f>
        <v>0</v>
      </c>
      <c r="AJ17" s="28">
        <f>CM_VOL(DUStrike,C17)</f>
        <v>0.284377042447451</v>
      </c>
      <c r="AK17" s="25">
        <f>(LN(D17/DUStrike)+AJ17^2/2*C17)/(AJ17*SQRT(C17))</f>
        <v>0.243717551767087</v>
      </c>
      <c r="AL17" s="25">
        <f>AK17-AJ17*SQRT(C17)</f>
        <v>-0.0742256473093344</v>
      </c>
      <c r="AM17" s="25">
        <f>IF(Phi=1,F17*(D17*NORMSDIST(AK17)-DUStrike*NORMSDIST(AL17)),F17*(DUStrike*NORMSDIST(-AL17)-D17*NORMSDIST(-AK17)))</f>
        <v>9.32236249037283</v>
      </c>
      <c r="AN17" s="25">
        <f>IF(Phi=-1,F17*(D17*NORMSDIST(AK17)-DUStrike*NORMSDIST(AL17)),F17*(DUStrike*NORMSDIST(-AL17)-D17*NORMSDIST(-AK17)))</f>
        <v>7.53122654936074</v>
      </c>
      <c r="AO17" s="29">
        <f>B17*Volume*(AM17-Leverage*AN17)</f>
        <v>0</v>
      </c>
    </row>
    <row r="18" spans="1:41">
      <c r="A18" s="24">
        <f>ROW()-2</f>
        <v>16</v>
      </c>
      <c r="B18" s="24">
        <f>IF(A18&lt;=NMonths,1,0)</f>
        <v>0</v>
      </c>
      <c r="C18" s="25">
        <f>A18/12</f>
        <v>1.33333333333333</v>
      </c>
      <c r="D18" s="26">
        <f>CM_FUTURE(C18)</f>
        <v>70.1</v>
      </c>
      <c r="E18" s="26">
        <f>D18-Front</f>
        <v>-4.90000000000001</v>
      </c>
      <c r="F18" s="27">
        <f>CM_DF(C18)</f>
        <v>0.955891265791675</v>
      </c>
      <c r="G18" s="28">
        <f>-LN(F18)/C18</f>
        <v>0.0338333333333333</v>
      </c>
      <c r="H18" s="26">
        <f>D18+Phi*MarginUSD</f>
        <v>70.1</v>
      </c>
      <c r="I18" s="29">
        <f>B18*Volume*F18*Phi*(D18-H18)</f>
        <v>0</v>
      </c>
      <c r="J18" s="28">
        <f>CM_VOL(Protect,C18)</f>
        <v>0.276778332760092</v>
      </c>
      <c r="K18" s="25">
        <f>(LN(D18/Protect)+J18^2/2*C18)/(J18*SQRT(C18))</f>
        <v>-0.0516104223298877</v>
      </c>
      <c r="L18" s="25">
        <f>K18-J18*SQRT(C18)</f>
        <v>-0.371206512179678</v>
      </c>
      <c r="M18" s="25">
        <f>IF(Phi=1,F18*(D18*NORMSDIST(K18)-Protect*NORMSDIST(L18)),F18*(Protect*NORMSDIST(-L18)-D18*NORMSDIST(-K18)))</f>
        <v>6.65699056812427</v>
      </c>
      <c r="N18" s="29">
        <f>B18*Volume*M18</f>
        <v>0</v>
      </c>
      <c r="O18" s="28">
        <f>CM_VOL(Giveup,C18)</f>
        <v>0.280375290885965</v>
      </c>
      <c r="P18" s="25">
        <f>(LN(D18/Giveup)+O18^2/2*C18)/(O18*SQRT(C18))</f>
        <v>0.145176074924787</v>
      </c>
      <c r="Q18" s="25">
        <f>P18-O18*SQRT(C18)</f>
        <v>-0.178573424409476</v>
      </c>
      <c r="R18" s="25">
        <f>IF(Phi=-1,F18*(D18*NORMSDIST(P18)-Giveup*NORMSDIST(Q18)),F18*(Giveup*NORMSDIST(-Q18)-D18*NORMSDIST(-P18)))</f>
        <v>8.823094153991</v>
      </c>
      <c r="S18" s="29">
        <f>B18*Volume*R18</f>
        <v>0</v>
      </c>
      <c r="T18" s="28">
        <f>CM_VOL(Cap3,C18)</f>
        <v>0.276897395474618</v>
      </c>
      <c r="U18" s="25">
        <f>(LN(D18/Cap3)+T18^2/2*C18)/(T18*SQRT(C18))</f>
        <v>-0.621680409918827</v>
      </c>
      <c r="V18" s="25">
        <f>U18-T18*SQRT(C18)</f>
        <v>-0.941413981549181</v>
      </c>
      <c r="W18" s="25">
        <f>IF(Phi=1,F18*(D18*NORMSDIST(U18)-Cap3*NORMSDIST(V18)),F18*(Cap3*NORMSDIST(-V18)-D18*NORMSDIST(-U18)))</f>
        <v>2.99180109242882</v>
      </c>
      <c r="X18" s="29">
        <f>B18*Volume*W18</f>
        <v>0</v>
      </c>
      <c r="Y18" s="28">
        <f>CM_VOL(Giveup3,C18)</f>
        <v>0.285097599610073</v>
      </c>
      <c r="Z18" s="25">
        <f>(LN(D18/Giveup3)+Y18^2/2*C18)/(Y18*SQRT(C18))</f>
        <v>0.320740450653314</v>
      </c>
      <c r="AA18" s="25">
        <f>Z18-Y18*SQRT(C18)</f>
        <v>-0.00846190110706968</v>
      </c>
      <c r="AB18" s="25">
        <f>IF(Phi=-1,F18*(D18*NORMSDIST(Z18)-Giveup3*NORMSDIST(AA18)),F18*(Giveup3*NORMSDIST(-AA18)-D18*NORMSDIST(-Z18)))</f>
        <v>6.96559549475084</v>
      </c>
      <c r="AC18" s="29">
        <f>B18*Volume*AB18</f>
        <v>0</v>
      </c>
      <c r="AD18" s="28">
        <f>CM_VOL(PSStrike,C18)</f>
        <v>0.275832005672549</v>
      </c>
      <c r="AE18" s="25">
        <f>(LN(D18/PSStrike)+AD18^2/2*C18)/(AD18*SQRT(C18))</f>
        <v>-0.136704608914949</v>
      </c>
      <c r="AF18" s="25">
        <f>AE18-AD18*SQRT(C18)</f>
        <v>-0.45520797436727</v>
      </c>
      <c r="AG18" s="25">
        <f>IF(Phi=1,F18*(D18*NORMSDIST(AE18)-PSStrike*NORMSDIST(AF18)),F18*(PSStrike*NORMSDIST(-AF18)-D18*NORMSDIST(-AE18)))</f>
        <v>5.96892961541249</v>
      </c>
      <c r="AH18" s="25">
        <f>IF(Phi=-1,F18*(D18*NORMSDIST(AE18)-PSStrike*NORMSDIST(AF18)),F18*(PSStrike*NORMSDIST(-AF18)-D18*NORMSDIST(-AE18)))</f>
        <v>12.5925869634628</v>
      </c>
      <c r="AI18" s="29">
        <f>B18*Volume*(AG18-(1-Participation)*AH18)</f>
        <v>0</v>
      </c>
      <c r="AJ18" s="28">
        <f>CM_VOL(DUStrike,C18)</f>
        <v>0.282685258379936</v>
      </c>
      <c r="AK18" s="25">
        <f>(LN(D18/DUStrike)+AJ18^2/2*C18)/(AJ18*SQRT(C18))</f>
        <v>0.237026280011148</v>
      </c>
      <c r="AL18" s="25">
        <f>AK18-AJ18*SQRT(C18)</f>
        <v>-0.0893905400320421</v>
      </c>
      <c r="AM18" s="25">
        <f>IF(Phi=1,F18*(D18*NORMSDIST(AK18)-DUStrike*NORMSDIST(AL18)),F18*(DUStrike*NORMSDIST(-AL18)-D18*NORMSDIST(-AK18)))</f>
        <v>9.40469391923226</v>
      </c>
      <c r="AN18" s="25">
        <f>IF(Phi=-1,F18*(D18*NORMSDIST(AK18)-DUStrike*NORMSDIST(AL18)),F18*(DUStrike*NORMSDIST(-AL18)-D18*NORMSDIST(-AK18)))</f>
        <v>7.80940698575255</v>
      </c>
      <c r="AO18" s="29">
        <f>B18*Volume*(AM18-Leverage*AN18)</f>
        <v>0</v>
      </c>
    </row>
    <row r="19" spans="1:41">
      <c r="A19" s="24">
        <f>ROW()-2</f>
        <v>17</v>
      </c>
      <c r="B19" s="24">
        <f>IF(A19&lt;=NMonths,1,0)</f>
        <v>0</v>
      </c>
      <c r="C19" s="25">
        <f>A19/12</f>
        <v>1.41666666666667</v>
      </c>
      <c r="D19" s="26">
        <f>CM_FUTURE(C19)</f>
        <v>69.9</v>
      </c>
      <c r="E19" s="26">
        <f>D19-Front</f>
        <v>-5.09999999999999</v>
      </c>
      <c r="F19" s="27">
        <f>CM_DF(C19)</f>
        <v>0.953425066900152</v>
      </c>
      <c r="G19" s="28">
        <f>-LN(F19)/C19</f>
        <v>0.0336666666666667</v>
      </c>
      <c r="H19" s="26">
        <f>D19+Phi*MarginUSD</f>
        <v>69.9</v>
      </c>
      <c r="I19" s="29">
        <f>B19*Volume*F19*Phi*(D19-H19)</f>
        <v>0</v>
      </c>
      <c r="J19" s="28">
        <f>CM_VOL(Protect,C19)</f>
        <v>0.275449616754015</v>
      </c>
      <c r="K19" s="25">
        <f>(LN(D19/Protect)+J19^2/2*C19)/(J19*SQRT(C19))</f>
        <v>-0.0508751502274036</v>
      </c>
      <c r="L19" s="25">
        <f>K19-J19*SQRT(C19)</f>
        <v>-0.37872577084713</v>
      </c>
      <c r="M19" s="25">
        <f>IF(Phi=1,F19*(D19*NORMSDIST(K19)-Protect*NORMSDIST(L19)),F19*(Protect*NORMSDIST(-L19)-D19*NORMSDIST(-K19)))</f>
        <v>6.76786135023935</v>
      </c>
      <c r="N19" s="29">
        <f>B19*Volume*M19</f>
        <v>0</v>
      </c>
      <c r="O19" s="28">
        <f>CM_VOL(Giveup,C19)</f>
        <v>0.278943438292886</v>
      </c>
      <c r="P19" s="25">
        <f>(LN(D19/Giveup)+O19^2/2*C19)/(O19*SQRT(C19))</f>
        <v>0.141115676826274</v>
      </c>
      <c r="Q19" s="25">
        <f>P19-O19*SQRT(C19)</f>
        <v>-0.190893423203777</v>
      </c>
      <c r="R19" s="25">
        <f>IF(Phi=-1,F19*(D19*NORMSDIST(P19)-Giveup*NORMSDIST(Q19)),F19*(Giveup*NORMSDIST(-Q19)-D19*NORMSDIST(-P19)))</f>
        <v>9.10249681654345</v>
      </c>
      <c r="S19" s="29">
        <f>B19*Volume*R19</f>
        <v>0</v>
      </c>
      <c r="T19" s="28">
        <f>CM_VOL(Cap3,C19)</f>
        <v>0.275396973169437</v>
      </c>
      <c r="U19" s="25">
        <f>(LN(D19/Cap3)+T19^2/2*C19)/(T19*SQRT(C19))</f>
        <v>-0.607165515332998</v>
      </c>
      <c r="V19" s="25">
        <f>U19-T19*SQRT(C19)</f>
        <v>-0.934953477554143</v>
      </c>
      <c r="W19" s="25">
        <f>IF(Phi=1,F19*(D19*NORMSDIST(U19)-Cap3*NORMSDIST(V19)),F19*(Cap3*NORMSDIST(-V19)-D19*NORMSDIST(-U19)))</f>
        <v>3.11026151934143</v>
      </c>
      <c r="X19" s="29">
        <f>B19*Volume*W19</f>
        <v>0</v>
      </c>
      <c r="Y19" s="28">
        <f>CM_VOL(Giveup3,C19)</f>
        <v>0.283512147831128</v>
      </c>
      <c r="Z19" s="25">
        <f>(LN(D19/Giveup3)+Y19^2/2*C19)/(Y19*SQRT(C19))</f>
        <v>0.312580966400976</v>
      </c>
      <c r="AA19" s="25">
        <f>Z19-Y19*SQRT(C19)</f>
        <v>-0.0248659856587675</v>
      </c>
      <c r="AB19" s="25">
        <f>IF(Phi=-1,F19*(D19*NORMSDIST(Z19)-Giveup3*NORMSDIST(AA19)),F19*(Giveup3*NORMSDIST(-AA19)-D19*NORMSDIST(-Z19)))</f>
        <v>7.2280609580799</v>
      </c>
      <c r="AC19" s="29">
        <f>B19*Volume*AB19</f>
        <v>0</v>
      </c>
      <c r="AD19" s="28">
        <f>CM_VOL(PSStrike,C19)</f>
        <v>0.274519053239936</v>
      </c>
      <c r="AE19" s="25">
        <f>(LN(D19/PSStrike)+AD19^2/2*C19)/(AD19*SQRT(C19))</f>
        <v>-0.133865798393882</v>
      </c>
      <c r="AF19" s="25">
        <f>AE19-AD19*SQRT(C19)</f>
        <v>-0.460608826891273</v>
      </c>
      <c r="AG19" s="25">
        <f>IF(Phi=1,F19*(D19*NORMSDIST(AE19)-PSStrike*NORMSDIST(AF19)),F19*(PSStrike*NORMSDIST(-AF19)-D19*NORMSDIST(-AE19)))</f>
        <v>6.08583263609002</v>
      </c>
      <c r="AH19" s="25">
        <f>IF(Phi=-1,F19*(D19*NORMSDIST(AE19)-PSStrike*NORMSDIST(AF19)),F19*(PSStrike*NORMSDIST(-AF19)-D19*NORMSDIST(-AE19)))</f>
        <v>12.8830859655413</v>
      </c>
      <c r="AI19" s="29">
        <f>B19*Volume*(AG19-(1-Participation)*AH19)</f>
        <v>0</v>
      </c>
      <c r="AJ19" s="28">
        <f>CM_VOL(DUStrike,C19)</f>
        <v>0.281178411845763</v>
      </c>
      <c r="AK19" s="25">
        <f>(LN(D19/DUStrike)+AJ19^2/2*C19)/(AJ19*SQRT(C19))</f>
        <v>0.230795040470461</v>
      </c>
      <c r="AL19" s="25">
        <f>AK19-AJ19*SQRT(C19)</f>
        <v>-0.10387421017085</v>
      </c>
      <c r="AM19" s="25">
        <f>IF(Phi=1,F19*(D19*NORMSDIST(AK19)-DUStrike*NORMSDIST(AL19)),F19*(DUStrike*NORMSDIST(-AL19)-D19*NORMSDIST(-AK19)))</f>
        <v>9.48125284309438</v>
      </c>
      <c r="AN19" s="25">
        <f>IF(Phi=-1,F19*(D19*NORMSDIST(AK19)-DUStrike*NORMSDIST(AL19)),F19*(DUStrike*NORMSDIST(-AL19)-D19*NORMSDIST(-AK19)))</f>
        <v>8.08076676232474</v>
      </c>
      <c r="AO19" s="29">
        <f>B19*Volume*(AM19-Leverage*AN19)</f>
        <v>0</v>
      </c>
    </row>
    <row r="20" spans="1:41">
      <c r="A20" s="24">
        <f>ROW()-2</f>
        <v>18</v>
      </c>
      <c r="B20" s="24">
        <f>IF(A20&lt;=NMonths,1,0)</f>
        <v>0</v>
      </c>
      <c r="C20" s="25">
        <f>A20/12</f>
        <v>1.5</v>
      </c>
      <c r="D20" s="26">
        <f>CM_FUTURE(C20)</f>
        <v>69.7</v>
      </c>
      <c r="E20" s="26">
        <f>D20-Front</f>
        <v>-5.3</v>
      </c>
      <c r="F20" s="27">
        <f>CM_DF(C20)</f>
        <v>0.950991646868031</v>
      </c>
      <c r="G20" s="28">
        <f>-LN(F20)/C20</f>
        <v>0.0335</v>
      </c>
      <c r="H20" s="26">
        <f>D20+Phi*MarginUSD</f>
        <v>69.7</v>
      </c>
      <c r="I20" s="29">
        <f>B20*Volume*F20*Phi*(D20-H20)</f>
        <v>0</v>
      </c>
      <c r="J20" s="28">
        <f>CM_VOL(Protect,C20)</f>
        <v>0.274262965174464</v>
      </c>
      <c r="K20" s="25">
        <f>(LN(D20/Protect)+J20^2/2*C20)/(J20*SQRT(C20))</f>
        <v>-0.0502308922919972</v>
      </c>
      <c r="L20" s="25">
        <f>K20-J20*SQRT(C20)</f>
        <v>-0.386133052302072</v>
      </c>
      <c r="M20" s="25">
        <f>IF(Phi=1,F20*(D20*NORMSDIST(K20)-Protect*NORMSDIST(L20)),F20*(Protect*NORMSDIST(-L20)-D20*NORMSDIST(-K20)))</f>
        <v>6.87226798089124</v>
      </c>
      <c r="N20" s="29">
        <f>B20*Volume*M20</f>
        <v>0</v>
      </c>
      <c r="O20" s="28">
        <f>CM_VOL(Giveup,C20)</f>
        <v>0.277661325696449</v>
      </c>
      <c r="P20" s="25">
        <f>(LN(D20/Giveup)+O20^2/2*C20)/(O20*SQRT(C20))</f>
        <v>0.137306965446016</v>
      </c>
      <c r="Q20" s="25">
        <f>P20-O20*SQRT(C20)</f>
        <v>-0.2027573191845</v>
      </c>
      <c r="R20" s="25">
        <f>IF(Phi=-1,F20*(D20*NORMSDIST(P20)-Giveup*NORMSDIST(Q20)),F20*(Giveup*NORMSDIST(-Q20)-D20*NORMSDIST(-P20)))</f>
        <v>9.3750937581161</v>
      </c>
      <c r="S20" s="29">
        <f>B20*Volume*R20</f>
        <v>0</v>
      </c>
      <c r="T20" s="28">
        <f>CM_VOL(Cap3,C20)</f>
        <v>0.274057002195936</v>
      </c>
      <c r="U20" s="25">
        <f>(LN(D20/Cap3)+T20^2/2*C20)/(T20*SQRT(C20))</f>
        <v>-0.593710641740108</v>
      </c>
      <c r="V20" s="25">
        <f>U20-T20*SQRT(C20)</f>
        <v>-0.929360549648534</v>
      </c>
      <c r="W20" s="25">
        <f>IF(Phi=1,F20*(D20*NORMSDIST(U20)-Cap3*NORMSDIST(V20)),F20*(Cap3*NORMSDIST(-V20)-D20*NORMSDIST(-U20)))</f>
        <v>3.22404280102579</v>
      </c>
      <c r="X20" s="29">
        <f>B20*Volume*W20</f>
        <v>0</v>
      </c>
      <c r="Y20" s="28">
        <f>CM_VOL(Giveup3,C20)</f>
        <v>0.282088444464406</v>
      </c>
      <c r="Z20" s="25">
        <f>(LN(D20/Giveup3)+Y20^2/2*C20)/(Y20*SQRT(C20))</f>
        <v>0.304959516462919</v>
      </c>
      <c r="AA20" s="25">
        <f>Z20-Y20*SQRT(C20)</f>
        <v>-0.0405268591736933</v>
      </c>
      <c r="AB20" s="25">
        <f>IF(Phi=-1,F20*(D20*NORMSDIST(Z20)-Giveup3*NORMSDIST(AA20)),F20*(Giveup3*NORMSDIST(-AA20)-D20*NORMSDIST(-Z20)))</f>
        <v>7.48464074144583</v>
      </c>
      <c r="AC20" s="29">
        <f>B20*Volume*AB20</f>
        <v>0</v>
      </c>
      <c r="AD20" s="28">
        <f>CM_VOL(PSStrike,C20)</f>
        <v>0.273347537053436</v>
      </c>
      <c r="AE20" s="25">
        <f>(LN(D20/PSStrike)+AD20^2/2*C20)/(AD20*SQRT(C20))</f>
        <v>-0.131269083225603</v>
      </c>
      <c r="AF20" s="25">
        <f>AE20-AD20*SQRT(C20)</f>
        <v>-0.466050077339321</v>
      </c>
      <c r="AG20" s="25">
        <f>IF(Phi=1,F20*(D20*NORMSDIST(AE20)-PSStrike*NORMSDIST(AF20)),F20*(PSStrike*NORMSDIST(-AF20)-D20*NORMSDIST(-AE20)))</f>
        <v>6.1962253264097</v>
      </c>
      <c r="AH20" s="25">
        <f>IF(Phi=-1,F20*(D20*NORMSDIST(AE20)-PSStrike*NORMSDIST(AF20)),F20*(PSStrike*NORMSDIST(-AF20)-D20*NORMSDIST(-AE20)))</f>
        <v>13.1663284037996</v>
      </c>
      <c r="AI20" s="29">
        <f>B20*Volume*(AG20-(1-Participation)*AH20)</f>
        <v>0</v>
      </c>
      <c r="AJ20" s="28">
        <f>CM_VOL(DUStrike,C20)</f>
        <v>0.27982721924533</v>
      </c>
      <c r="AK20" s="25">
        <f>(LN(D20/DUStrike)+AJ20^2/2*C20)/(AJ20*SQRT(C20))</f>
        <v>0.224968074128837</v>
      </c>
      <c r="AL20" s="25">
        <f>AK20-AJ20*SQRT(C20)</f>
        <v>-0.117748877517651</v>
      </c>
      <c r="AM20" s="25">
        <f>IF(Phi=1,F20*(D20*NORMSDIST(AK20)-DUStrike*NORMSDIST(AL20)),F20*(DUStrike*NORMSDIST(-AL20)-D20*NORMSDIST(-AK20)))</f>
        <v>9.55246886605226</v>
      </c>
      <c r="AN20" s="25">
        <f>IF(Phi=-1,F20*(D20*NORMSDIST(AK20)-DUStrike*NORMSDIST(AL20)),F20*(DUStrike*NORMSDIST(-AL20)-D20*NORMSDIST(-AK20)))</f>
        <v>8.34575556534141</v>
      </c>
      <c r="AO20" s="29">
        <f>B20*Volume*(AM20-Leverage*AN20)</f>
        <v>0</v>
      </c>
    </row>
    <row r="21" spans="1:41">
      <c r="A21" s="24">
        <f>ROW()-2</f>
        <v>19</v>
      </c>
      <c r="B21" s="24">
        <f>IF(A21&lt;=NMonths,1,0)</f>
        <v>0</v>
      </c>
      <c r="C21" s="25">
        <f>A21/12</f>
        <v>1.58333333333333</v>
      </c>
      <c r="D21" s="26">
        <f>CM_FUTURE(C21)</f>
        <v>69.5666666666667</v>
      </c>
      <c r="E21" s="26">
        <f>D21-Front</f>
        <v>-5.43333333333334</v>
      </c>
      <c r="F21" s="27">
        <f>CM_DF(C21)</f>
        <v>0.948465633987115</v>
      </c>
      <c r="G21" s="28">
        <f>-LN(F21)/C21</f>
        <v>0.0334166666666667</v>
      </c>
      <c r="H21" s="26">
        <f>D21+Phi*MarginUSD</f>
        <v>69.5666666666667</v>
      </c>
      <c r="I21" s="29">
        <f>B21*Volume*F21*Phi*(D21-H21)</f>
        <v>0</v>
      </c>
      <c r="J21" s="28">
        <f>CM_VOL(Protect,C21)</f>
        <v>0.272214269292399</v>
      </c>
      <c r="K21" s="25">
        <f>(LN(D21/Protect)+J21^2/2*C21)/(J21*SQRT(C21))</f>
        <v>-0.048286764675241</v>
      </c>
      <c r="L21" s="25">
        <f>K21-J21*SQRT(C21)</f>
        <v>-0.39081554202121</v>
      </c>
      <c r="M21" s="25">
        <f>IF(Phi=1,F21*(D21*NORMSDIST(K21)-Protect*NORMSDIST(L21)),F21*(Protect*NORMSDIST(-L21)-D21*NORMSDIST(-K21)))</f>
        <v>6.96765407214079</v>
      </c>
      <c r="N21" s="29">
        <f>B21*Volume*M21</f>
        <v>0</v>
      </c>
      <c r="O21" s="28">
        <f>CM_VOL(Giveup,C21)</f>
        <v>0.275551092543764</v>
      </c>
      <c r="P21" s="25">
        <f>(LN(D21/Giveup)+O21^2/2*C21)/(O21*SQRT(C21))</f>
        <v>0.135745009803917</v>
      </c>
      <c r="Q21" s="25">
        <f>P21-O21*SQRT(C21)</f>
        <v>-0.21098251138998</v>
      </c>
      <c r="R21" s="25">
        <f>IF(Phi=-1,F21*(D21*NORMSDIST(P21)-Giveup*NORMSDIST(Q21)),F21*(Giveup*NORMSDIST(-Q21)-D21*NORMSDIST(-P21)))</f>
        <v>9.58049216754957</v>
      </c>
      <c r="S21" s="29">
        <f>B21*Volume*R21</f>
        <v>0</v>
      </c>
      <c r="T21" s="28">
        <f>CM_VOL(Cap3,C21)</f>
        <v>0.271858302385084</v>
      </c>
      <c r="U21" s="25">
        <f>(LN(D21/Cap3)+T21^2/2*C21)/(T21*SQRT(C21))</f>
        <v>-0.581776149492077</v>
      </c>
      <c r="V21" s="25">
        <f>U21-T21*SQRT(C21)</f>
        <v>-0.923857011635603</v>
      </c>
      <c r="W21" s="25">
        <f>IF(Phi=1,F21*(D21*NORMSDIST(U21)-Cap3*NORMSDIST(V21)),F21*(Cap3*NORMSDIST(-V21)-D21*NORMSDIST(-U21)))</f>
        <v>3.32284328265763</v>
      </c>
      <c r="X21" s="29">
        <f>B21*Volume*W21</f>
        <v>0</v>
      </c>
      <c r="Y21" s="28">
        <f>CM_VOL(Giveup3,C21)</f>
        <v>0.279876667771274</v>
      </c>
      <c r="Z21" s="25">
        <f>(LN(D21/Giveup3)+Y21^2/2*C21)/(Y21*SQRT(C21))</f>
        <v>0.300355010097141</v>
      </c>
      <c r="AA21" s="25">
        <f>Z21-Y21*SQRT(C21)</f>
        <v>-0.0518154072309251</v>
      </c>
      <c r="AB21" s="25">
        <f>IF(Phi=-1,F21*(D21*NORMSDIST(Z21)-Giveup3*NORMSDIST(AA21)),F21*(Giveup3*NORMSDIST(-AA21)-D21*NORMSDIST(-Z21)))</f>
        <v>7.68118150723289</v>
      </c>
      <c r="AC21" s="29">
        <f>B21*Volume*AB21</f>
        <v>0</v>
      </c>
      <c r="AD21" s="28">
        <f>CM_VOL(PSStrike,C21)</f>
        <v>0.271304998552134</v>
      </c>
      <c r="AE21" s="25">
        <f>(LN(D21/PSStrike)+AD21^2/2*C21)/(AD21*SQRT(C21))</f>
        <v>-0.127798980201683</v>
      </c>
      <c r="AF21" s="25">
        <f>AE21-AD21*SQRT(C21)</f>
        <v>-0.46918361695668</v>
      </c>
      <c r="AG21" s="25">
        <f>IF(Phi=1,F21*(D21*NORMSDIST(AE21)-PSStrike*NORMSDIST(AF21)),F21*(PSStrike*NORMSDIST(-AF21)-D21*NORMSDIST(-AE21)))</f>
        <v>6.29559234262575</v>
      </c>
      <c r="AH21" s="25">
        <f>IF(Phi=-1,F21*(D21*NORMSDIST(AE21)-PSStrike*NORMSDIST(AF21)),F21*(PSStrike*NORMSDIST(-AF21)-D21*NORMSDIST(-AE21)))</f>
        <v>13.3736435983391</v>
      </c>
      <c r="AI21" s="29">
        <f>B21*Volume*(AG21-(1-Participation)*AH21)</f>
        <v>0</v>
      </c>
      <c r="AJ21" s="28">
        <f>CM_VOL(DUStrike,C21)</f>
        <v>0.277668256341898</v>
      </c>
      <c r="AK21" s="25">
        <f>(LN(D21/DUStrike)+AJ21^2/2*C21)/(AJ21*SQRT(C21))</f>
        <v>0.221800884168158</v>
      </c>
      <c r="AL21" s="25">
        <f>AK21-AJ21*SQRT(C21)</f>
        <v>-0.127590676383783</v>
      </c>
      <c r="AM21" s="25">
        <f>IF(Phi=1,F21*(D21*NORMSDIST(AK21)-DUStrike*NORMSDIST(AL21)),F21*(DUStrike*NORMSDIST(-AL21)-D21*NORMSDIST(-AK21)))</f>
        <v>9.62421891110457</v>
      </c>
      <c r="AN21" s="25">
        <f>IF(Phi=-1,F21*(D21*NORMSDIST(AK21)-DUStrike*NORMSDIST(AL21)),F21*(DUStrike*NORMSDIST(-AL21)-D21*NORMSDIST(-AK21)))</f>
        <v>8.54717295266995</v>
      </c>
      <c r="AO21" s="29">
        <f>B21*Volume*(AM21-Leverage*AN21)</f>
        <v>0</v>
      </c>
    </row>
    <row r="22" spans="1:41">
      <c r="A22" s="24">
        <f>ROW()-2</f>
        <v>20</v>
      </c>
      <c r="B22" s="24">
        <f>IF(A22&lt;=NMonths,1,0)</f>
        <v>0</v>
      </c>
      <c r="C22" s="25">
        <f>A22/12</f>
        <v>1.66666666666667</v>
      </c>
      <c r="D22" s="26">
        <f>CM_FUTURE(C22)</f>
        <v>69.4333333333333</v>
      </c>
      <c r="E22" s="26">
        <f>D22-Front</f>
        <v>-5.56666666666666</v>
      </c>
      <c r="F22" s="27">
        <f>CM_DF(C22)</f>
        <v>0.945959468906765</v>
      </c>
      <c r="G22" s="28">
        <f>-LN(F22)/C22</f>
        <v>0.0333333333333334</v>
      </c>
      <c r="H22" s="26">
        <f>D22+Phi*MarginUSD</f>
        <v>69.4333333333333</v>
      </c>
      <c r="I22" s="29">
        <f>B22*Volume*F22*Phi*(D22-H22)</f>
        <v>0</v>
      </c>
      <c r="J22" s="28">
        <f>CM_VOL(Protect,C22)</f>
        <v>0.27035832053061</v>
      </c>
      <c r="K22" s="25">
        <f>(LN(D22/Protect)+J22^2/2*C22)/(J22*SQRT(C22))</f>
        <v>-0.0464420022261917</v>
      </c>
      <c r="L22" s="25">
        <f>K22-J22*SQRT(C22)</f>
        <v>-0.395473093200745</v>
      </c>
      <c r="M22" s="25">
        <f>IF(Phi=1,F22*(D22*NORMSDIST(K22)-Protect*NORMSDIST(L22)),F22*(Protect*NORMSDIST(-L22)-D22*NORMSDIST(-K22)))</f>
        <v>7.05891408885204</v>
      </c>
      <c r="N22" s="29">
        <f>B22*Volume*M22</f>
        <v>0</v>
      </c>
      <c r="O22" s="28">
        <f>CM_VOL(Giveup,C22)</f>
        <v>0.27363703143364</v>
      </c>
      <c r="P22" s="25">
        <f>(LN(D22/Giveup)+O22^2/2*C22)/(O22*SQRT(C22))</f>
        <v>0.134278557715573</v>
      </c>
      <c r="Q22" s="25">
        <f>P22-O22*SQRT(C22)</f>
        <v>-0.218985330833801</v>
      </c>
      <c r="R22" s="25">
        <f>IF(Phi=-1,F22*(D22*NORMSDIST(P22)-Giveup*NORMSDIST(Q22)),F22*(Giveup*NORMSDIST(-Q22)-D22*NORMSDIST(-P22)))</f>
        <v>9.78135066155267</v>
      </c>
      <c r="S22" s="29">
        <f>B22*Volume*R22</f>
        <v>0</v>
      </c>
      <c r="T22" s="28">
        <f>CM_VOL(Cap3,C22)</f>
        <v>0.269864181415267</v>
      </c>
      <c r="U22" s="25">
        <f>(LN(D22/Cap3)+T22^2/2*C22)/(T22*SQRT(C22))</f>
        <v>-0.570486842089629</v>
      </c>
      <c r="V22" s="25">
        <f>U22-T22*SQRT(C22)</f>
        <v>-0.918880002209371</v>
      </c>
      <c r="W22" s="25">
        <f>IF(Phi=1,F22*(D22*NORMSDIST(U22)-Cap3*NORMSDIST(V22)),F22*(Cap3*NORMSDIST(-V22)-D22*NORMSDIST(-U22)))</f>
        <v>3.41870404108482</v>
      </c>
      <c r="X22" s="29">
        <f>B22*Volume*W22</f>
        <v>0</v>
      </c>
      <c r="Y22" s="28">
        <f>CM_VOL(Giveup3,C22)</f>
        <v>0.277867352137321</v>
      </c>
      <c r="Z22" s="25">
        <f>(LN(D22/Giveup3)+Y22^2/2*C22)/(Y22*SQRT(C22))</f>
        <v>0.296013681624753</v>
      </c>
      <c r="AA22" s="25">
        <f>Z22-Y22*SQRT(C22)</f>
        <v>-0.062711527469445</v>
      </c>
      <c r="AB22" s="25">
        <f>IF(Phi=-1,F22*(D22*NORMSDIST(Z22)-Giveup3*NORMSDIST(AA22)),F22*(Giveup3*NORMSDIST(-AA22)-D22*NORMSDIST(-Z22)))</f>
        <v>7.8736110233648</v>
      </c>
      <c r="AC22" s="29">
        <f>B22*Volume*AB22</f>
        <v>0</v>
      </c>
      <c r="AD22" s="28">
        <f>CM_VOL(PSStrike,C22)</f>
        <v>0.26945521988773</v>
      </c>
      <c r="AE22" s="25">
        <f>(LN(D22/PSStrike)+AD22^2/2*C22)/(AD22*SQRT(C22))</f>
        <v>-0.124512926127604</v>
      </c>
      <c r="AF22" s="25">
        <f>AE22-AD22*SQRT(C22)</f>
        <v>-0.47237811918555</v>
      </c>
      <c r="AG22" s="25">
        <f>IF(Phi=1,F22*(D22*NORMSDIST(AE22)-PSStrike*NORMSDIST(AF22)),F22*(PSStrike*NORMSDIST(-AF22)-D22*NORMSDIST(-AE22)))</f>
        <v>6.39084995739347</v>
      </c>
      <c r="AH22" s="25">
        <f>IF(Phi=-1,F22*(D22*NORMSDIST(AE22)-PSStrike*NORMSDIST(AF22)),F22*(PSStrike*NORMSDIST(-AF22)-D22*NORMSDIST(-AE22)))</f>
        <v>13.576326551227</v>
      </c>
      <c r="AI22" s="29">
        <f>B22*Volume*(AG22-(1-Participation)*AH22)</f>
        <v>0</v>
      </c>
      <c r="AJ22" s="28">
        <f>CM_VOL(DUStrike,C22)</f>
        <v>0.275708480598987</v>
      </c>
      <c r="AK22" s="25">
        <f>(LN(D22/DUStrike)+AJ22^2/2*C22)/(AJ22*SQRT(C22))</f>
        <v>0.21881790096646</v>
      </c>
      <c r="AL22" s="25">
        <f>AK22-AJ22*SQRT(C22)</f>
        <v>-0.137120216956215</v>
      </c>
      <c r="AM22" s="25">
        <f>IF(Phi=1,F22*(D22*NORMSDIST(AK22)-DUStrike*NORMSDIST(AL22)),F22*(DUStrike*NORMSDIST(-AL22)-D22*NORMSDIST(-AK22)))</f>
        <v>9.69231680102729</v>
      </c>
      <c r="AN22" s="25">
        <f>IF(Phi=-1,F22*(D22*NORMSDIST(AK22)-DUStrike*NORMSDIST(AL22)),F22*(DUStrike*NORMSDIST(-AL22)-D22*NORMSDIST(-AK22)))</f>
        <v>8.74424468930663</v>
      </c>
      <c r="AO22" s="29">
        <f>B22*Volume*(AM22-Leverage*AN22)</f>
        <v>0</v>
      </c>
    </row>
    <row r="23" spans="1:41">
      <c r="A23" s="24">
        <f>ROW()-2</f>
        <v>21</v>
      </c>
      <c r="B23" s="24">
        <f>IF(A23&lt;=NMonths,1,0)</f>
        <v>0</v>
      </c>
      <c r="C23" s="25">
        <f>A23/12</f>
        <v>1.75</v>
      </c>
      <c r="D23" s="26">
        <f>CM_FUTURE(C23)</f>
        <v>69.3</v>
      </c>
      <c r="E23" s="26">
        <f>D23-Front</f>
        <v>-5.7</v>
      </c>
      <c r="F23" s="27">
        <f>CM_DF(C23)</f>
        <v>0.943473029658214</v>
      </c>
      <c r="G23" s="28">
        <f>-LN(F23)/C23</f>
        <v>0.03325</v>
      </c>
      <c r="H23" s="26">
        <f>D23+Phi*MarginUSD</f>
        <v>69.3</v>
      </c>
      <c r="I23" s="29">
        <f>B23*Volume*F23*Phi*(D23-H23)</f>
        <v>0</v>
      </c>
      <c r="J23" s="28">
        <f>CM_VOL(Protect,C23)</f>
        <v>0.268669115144562</v>
      </c>
      <c r="K23" s="25">
        <f>(LN(D23/Protect)+J23^2/2*C23)/(J23*SQRT(C23))</f>
        <v>-0.0446885005254588</v>
      </c>
      <c r="L23" s="25">
        <f>K23-J23*SQRT(C23)</f>
        <v>-0.400104332343602</v>
      </c>
      <c r="M23" s="25">
        <f>IF(Phi=1,F23*(D23*NORMSDIST(K23)-Protect*NORMSDIST(L23)),F23*(Protect*NORMSDIST(-L23)-D23*NORMSDIST(-K23)))</f>
        <v>7.14627398635172</v>
      </c>
      <c r="N23" s="29">
        <f>B23*Volume*M23</f>
        <v>0</v>
      </c>
      <c r="O23" s="28">
        <f>CM_VOL(Giveup,C23)</f>
        <v>0.271892827471575</v>
      </c>
      <c r="P23" s="25">
        <f>(LN(D23/Giveup)+O23^2/2*C23)/(O23*SQRT(C23))</f>
        <v>0.132898318003553</v>
      </c>
      <c r="Q23" s="25">
        <f>P23-O23*SQRT(C23)</f>
        <v>-0.226782084372436</v>
      </c>
      <c r="R23" s="25">
        <f>IF(Phi=-1,F23*(D23*NORMSDIST(P23)-Giveup*NORMSDIST(Q23)),F23*(Giveup*NORMSDIST(-Q23)-D23*NORMSDIST(-P23)))</f>
        <v>9.97789595051169</v>
      </c>
      <c r="S23" s="29">
        <f>B23*Volume*R23</f>
        <v>0</v>
      </c>
      <c r="T23" s="28">
        <f>CM_VOL(Cap3,C23)</f>
        <v>0.268047443905856</v>
      </c>
      <c r="U23" s="25">
        <f>(LN(D23/Cap3)+T23^2/2*C23)/(T23*SQRT(C23))</f>
        <v>-0.559786193599603</v>
      </c>
      <c r="V23" s="25">
        <f>U23-T23*SQRT(C23)</f>
        <v>-0.914379631670319</v>
      </c>
      <c r="W23" s="25">
        <f>IF(Phi=1,F23*(D23*NORMSDIST(U23)-Cap3*NORMSDIST(V23)),F23*(Cap3*NORMSDIST(-V23)-D23*NORMSDIST(-U23)))</f>
        <v>3.5117320887959</v>
      </c>
      <c r="X23" s="29">
        <f>B23*Volume*W23</f>
        <v>0</v>
      </c>
      <c r="Y23" s="28">
        <f>CM_VOL(Giveup3,C23)</f>
        <v>0.276033574332044</v>
      </c>
      <c r="Z23" s="25">
        <f>(LN(D23/Giveup3)+Y23^2/2*C23)/(Y23*SQRT(C23))</f>
        <v>0.291911222256395</v>
      </c>
      <c r="AA23" s="25">
        <f>Z23-Y23*SQRT(C23)</f>
        <v>-0.0732468733370302</v>
      </c>
      <c r="AB23" s="25">
        <f>IF(Phi=-1,F23*(D23*NORMSDIST(Z23)-Giveup3*NORMSDIST(AA23)),F23*(Giveup3*NORMSDIST(-AA23)-D23*NORMSDIST(-Z23)))</f>
        <v>8.06212646794888</v>
      </c>
      <c r="AC23" s="29">
        <f>B23*Volume*AB23</f>
        <v>0</v>
      </c>
      <c r="AD23" s="28">
        <f>CM_VOL(PSStrike,C23)</f>
        <v>0.267772173998097</v>
      </c>
      <c r="AE23" s="25">
        <f>(LN(D23/PSStrike)+AD23^2/2*C23)/(AD23*SQRT(C23))</f>
        <v>-0.121395290919733</v>
      </c>
      <c r="AF23" s="25">
        <f>AE23-AD23*SQRT(C23)</f>
        <v>-0.475624581130774</v>
      </c>
      <c r="AG23" s="25">
        <f>IF(Phi=1,F23*(D23*NORMSDIST(AE23)-PSStrike*NORMSDIST(AF23)),F23*(PSStrike*NORMSDIST(-AF23)-D23*NORMSDIST(-AE23)))</f>
        <v>6.48221743295009</v>
      </c>
      <c r="AH23" s="25">
        <f>IF(Phi=-1,F23*(D23*NORMSDIST(AE23)-PSStrike*NORMSDIST(AF23)),F23*(PSStrike*NORMSDIST(-AF23)-D23*NORMSDIST(-AE23)))</f>
        <v>13.7746035210873</v>
      </c>
      <c r="AI23" s="29">
        <f>B23*Volume*(AG23-(1-Participation)*AH23)</f>
        <v>0</v>
      </c>
      <c r="AJ23" s="28">
        <f>CM_VOL(DUStrike,C23)</f>
        <v>0.273921284684996</v>
      </c>
      <c r="AK23" s="25">
        <f>(LN(D23/DUStrike)+AJ23^2/2*C23)/(AJ23*SQRT(C23))</f>
        <v>0.216001896918669</v>
      </c>
      <c r="AL23" s="25">
        <f>AK23-AJ23*SQRT(C23)</f>
        <v>-0.146361902123243</v>
      </c>
      <c r="AM23" s="25">
        <f>IF(Phi=1,F23*(D23*NORMSDIST(AK23)-DUStrike*NORMSDIST(AL23)),F23*(DUStrike*NORMSDIST(-AL23)-D23*NORMSDIST(-AK23)))</f>
        <v>9.75696810273269</v>
      </c>
      <c r="AN23" s="25">
        <f>IF(Phi=-1,F23*(D23*NORMSDIST(AK23)-DUStrike*NORMSDIST(AL23)),F23*(DUStrike*NORMSDIST(-AL23)-D23*NORMSDIST(-AK23)))</f>
        <v>8.93718438726267</v>
      </c>
      <c r="AO23" s="29">
        <f>B23*Volume*(AM23-Leverage*AN23)</f>
        <v>0</v>
      </c>
    </row>
    <row r="24" spans="1:41">
      <c r="A24" s="24">
        <f>ROW()-2</f>
        <v>22</v>
      </c>
      <c r="B24" s="24">
        <f>IF(A24&lt;=NMonths,1,0)</f>
        <v>0</v>
      </c>
      <c r="C24" s="25">
        <f>A24/12</f>
        <v>1.83333333333333</v>
      </c>
      <c r="D24" s="26">
        <f>CM_FUTURE(C24)</f>
        <v>69.1666666666667</v>
      </c>
      <c r="E24" s="26">
        <f>D24-Front</f>
        <v>-5.83333333333333</v>
      </c>
      <c r="F24" s="27">
        <f>CM_DF(C24)</f>
        <v>0.941006195414966</v>
      </c>
      <c r="G24" s="28">
        <f>-LN(F24)/C24</f>
        <v>0.0331666666666667</v>
      </c>
      <c r="H24" s="26">
        <f>D24+Phi*MarginUSD</f>
        <v>69.1666666666667</v>
      </c>
      <c r="I24" s="29">
        <f>B24*Volume*F24*Phi*(D24-H24)</f>
        <v>0</v>
      </c>
      <c r="J24" s="28">
        <f>CM_VOL(Protect,C24)</f>
        <v>0.267125136166664</v>
      </c>
      <c r="K24" s="25">
        <f>(LN(D24/Protect)+J24^2/2*C24)/(J24*SQRT(C24))</f>
        <v>-0.0430191070880884</v>
      </c>
      <c r="L24" s="25">
        <f>K24-J24*SQRT(C24)</f>
        <v>-0.40470825126502</v>
      </c>
      <c r="M24" s="25">
        <f>IF(Phi=1,F24*(D24*NORMSDIST(K24)-Protect*NORMSDIST(L24)),F24*(Protect*NORMSDIST(-L24)-D24*NORMSDIST(-K24)))</f>
        <v>7.22994086225341</v>
      </c>
      <c r="N24" s="29">
        <f>B24*Volume*M24</f>
        <v>0</v>
      </c>
      <c r="O24" s="28">
        <f>CM_VOL(Giveup,C24)</f>
        <v>0.270296690590637</v>
      </c>
      <c r="P24" s="25">
        <f>(LN(D24/Giveup)+O24^2/2*C24)/(O24*SQRT(C24))</f>
        <v>0.131596147357257</v>
      </c>
      <c r="Q24" s="25">
        <f>P24-O24*SQRT(C24)</f>
        <v>-0.234387301810133</v>
      </c>
      <c r="R24" s="25">
        <f>IF(Phi=-1,F24*(D24*NORMSDIST(P24)-Giveup*NORMSDIST(Q24)),F24*(Giveup*NORMSDIST(-Q24)-D24*NORMSDIST(-P24)))</f>
        <v>10.1703359388126</v>
      </c>
      <c r="S24" s="29">
        <f>B24*Volume*R24</f>
        <v>0</v>
      </c>
      <c r="T24" s="28">
        <f>CM_VOL(Cap3,C24)</f>
        <v>0.266385532010909</v>
      </c>
      <c r="U24" s="25">
        <f>(LN(D24/Cap3)+T24^2/2*C24)/(T24*SQRT(C24))</f>
        <v>-0.549624500166217</v>
      </c>
      <c r="V24" s="25">
        <f>U24-T24*SQRT(C24)</f>
        <v>-0.910312215582218</v>
      </c>
      <c r="W24" s="25">
        <f>IF(Phi=1,F24*(D24*NORMSDIST(U24)-Cap3*NORMSDIST(V24)),F24*(Cap3*NORMSDIST(-V24)-D24*NORMSDIST(-U24)))</f>
        <v>3.6020290298231</v>
      </c>
      <c r="X24" s="29">
        <f>B24*Volume*W24</f>
        <v>0</v>
      </c>
      <c r="Y24" s="28">
        <f>CM_VOL(Giveup3,C24)</f>
        <v>0.274353014099892</v>
      </c>
      <c r="Z24" s="25">
        <f>(LN(D24/Giveup3)+Y24^2/2*C24)/(Y24*SQRT(C24))</f>
        <v>0.288026307955022</v>
      </c>
      <c r="AA24" s="25">
        <f>Z24-Y24*SQRT(C24)</f>
        <v>-0.0834494292075036</v>
      </c>
      <c r="AB24" s="25">
        <f>IF(Phi=-1,F24*(D24*NORMSDIST(Z24)-Giveup3*NORMSDIST(AA24)),F24*(Giveup3*NORMSDIST(-AA24)-D24*NORMSDIST(-Z24)))</f>
        <v>8.24690893272429</v>
      </c>
      <c r="AC24" s="29">
        <f>B24*Volume*AB24</f>
        <v>0</v>
      </c>
      <c r="AD24" s="28">
        <f>CM_VOL(PSStrike,C24)</f>
        <v>0.266234325627035</v>
      </c>
      <c r="AE24" s="25">
        <f>(LN(D24/PSStrike)+AD24^2/2*C24)/(AD24*SQRT(C24))</f>
        <v>-0.118432298902216</v>
      </c>
      <c r="AF24" s="25">
        <f>AE24-AD24*SQRT(C24)</f>
        <v>-0.478915279906613</v>
      </c>
      <c r="AG24" s="25">
        <f>IF(Phi=1,F24*(D24*NORMSDIST(AE24)-PSStrike*NORMSDIST(AF24)),F24*(PSStrike*NORMSDIST(-AF24)-D24*NORMSDIST(-AE24)))</f>
        <v>6.56989617341438</v>
      </c>
      <c r="AH24" s="25">
        <f>IF(Phi=-1,F24*(D24*NORMSDIST(AE24)-PSStrike*NORMSDIST(AF24)),F24*(PSStrike*NORMSDIST(-AF24)-D24*NORMSDIST(-AE24)))</f>
        <v>13.9686828523573</v>
      </c>
      <c r="AI24" s="29">
        <f>B24*Volume*(AG24-(1-Participation)*AH24)</f>
        <v>0</v>
      </c>
      <c r="AJ24" s="28">
        <f>CM_VOL(DUStrike,C24)</f>
        <v>0.272284623757263</v>
      </c>
      <c r="AK24" s="25">
        <f>(LN(D24/DUStrike)+AJ24^2/2*C24)/(AJ24*SQRT(C24))</f>
        <v>0.213337759076331</v>
      </c>
      <c r="AL24" s="25">
        <f>AK24-AJ24*SQRT(C24)</f>
        <v>-0.155337364322978</v>
      </c>
      <c r="AM24" s="25">
        <f>IF(Phi=1,F24*(D24*NORMSDIST(AK24)-DUStrike*NORMSDIST(AL24)),F24*(DUStrike*NORMSDIST(-AL24)-D24*NORMSDIST(-AK24)))</f>
        <v>9.81836080544103</v>
      </c>
      <c r="AN24" s="25">
        <f>IF(Phi=-1,F24*(D24*NORMSDIST(AK24)-DUStrike*NORMSDIST(AL24)),F24*(DUStrike*NORMSDIST(-AL24)-D24*NORMSDIST(-AK24)))</f>
        <v>9.12618801496696</v>
      </c>
      <c r="AO24" s="29">
        <f>B24*Volume*(AM24-Leverage*AN24)</f>
        <v>0</v>
      </c>
    </row>
    <row r="25" spans="1:41">
      <c r="A25" s="24">
        <f>ROW()-2</f>
        <v>23</v>
      </c>
      <c r="B25" s="24">
        <f>IF(A25&lt;=NMonths,1,0)</f>
        <v>0</v>
      </c>
      <c r="C25" s="25">
        <f>A25/12</f>
        <v>1.91666666666667</v>
      </c>
      <c r="D25" s="26">
        <f>CM_FUTURE(C25)</f>
        <v>69.0333333333333</v>
      </c>
      <c r="E25" s="26">
        <f>D25-Front</f>
        <v>-5.96666666666667</v>
      </c>
      <c r="F25" s="27">
        <f>CM_DF(C25)</f>
        <v>0.93855884648309</v>
      </c>
      <c r="G25" s="28">
        <f>-LN(F25)/C25</f>
        <v>0.0330833333333333</v>
      </c>
      <c r="H25" s="26">
        <f>D25+Phi*MarginUSD</f>
        <v>69.0333333333333</v>
      </c>
      <c r="I25" s="29">
        <f>B25*Volume*F25*Phi*(D25-H25)</f>
        <v>0</v>
      </c>
      <c r="J25" s="28">
        <f>CM_VOL(Protect,C25)</f>
        <v>0.265708423152217</v>
      </c>
      <c r="K25" s="25">
        <f>(LN(D25/Protect)+J25^2/2*C25)/(J25*SQRT(C25))</f>
        <v>-0.0414274810458305</v>
      </c>
      <c r="L25" s="25">
        <f>K25-J25*SQRT(C25)</f>
        <v>-0.409284135768253</v>
      </c>
      <c r="M25" s="25">
        <f>IF(Phi=1,F25*(D25*NORMSDIST(K25)-Protect*NORMSDIST(L25)),F25*(Protect*NORMSDIST(-L25)-D25*NORMSDIST(-K25)))</f>
        <v>7.31010511632127</v>
      </c>
      <c r="N25" s="29">
        <f>B25*Volume*M25</f>
        <v>0</v>
      </c>
      <c r="O25" s="28">
        <f>CM_VOL(Giveup,C25)</f>
        <v>0.268830419520941</v>
      </c>
      <c r="P25" s="25">
        <f>(LN(D25/Giveup)+O25^2/2*C25)/(O25*SQRT(C25))</f>
        <v>0.130364875482703</v>
      </c>
      <c r="Q25" s="25">
        <f>P25-O25*SQRT(C25)</f>
        <v>-0.241813987495784</v>
      </c>
      <c r="R25" s="25">
        <f>IF(Phi=-1,F25*(D25*NORMSDIST(P25)-Giveup*NORMSDIST(Q25)),F25*(Giveup*NORMSDIST(-Q25)-D25*NORMSDIST(-P25)))</f>
        <v>10.3588619433421</v>
      </c>
      <c r="S25" s="29">
        <f>B25*Volume*R25</f>
        <v>0</v>
      </c>
      <c r="T25" s="28">
        <f>CM_VOL(Cap3,C25)</f>
        <v>0.26485957227935</v>
      </c>
      <c r="U25" s="25">
        <f>(LN(D25/Cap3)+T25^2/2*C25)/(T25*SQRT(C25))</f>
        <v>-0.539957846349733</v>
      </c>
      <c r="V25" s="25">
        <f>U25-T25*SQRT(C25)</f>
        <v>-0.90663932025272</v>
      </c>
      <c r="W25" s="25">
        <f>IF(Phi=1,F25*(D25*NORMSDIST(U25)-Cap3*NORMSDIST(V25)),F25*(Cap3*NORMSDIST(-V25)-D25*NORMSDIST(-U25)))</f>
        <v>3.68969138772161</v>
      </c>
      <c r="X25" s="29">
        <f>B25*Volume*W25</f>
        <v>0</v>
      </c>
      <c r="Y25" s="28">
        <f>CM_VOL(Giveup3,C25)</f>
        <v>0.272807005751054</v>
      </c>
      <c r="Z25" s="25">
        <f>(LN(D25/Giveup3)+Y25^2/2*C25)/(Y25*SQRT(C25))</f>
        <v>0.284340142810771</v>
      </c>
      <c r="AA25" s="25">
        <f>Z25-Y25*SQRT(C25)</f>
        <v>-0.0933440545130519</v>
      </c>
      <c r="AB25" s="25">
        <f>IF(Phi=-1,F25*(D25*NORMSDIST(Z25)-Giveup3*NORMSDIST(AA25)),F25*(Giveup3*NORMSDIST(-AA25)-D25*NORMSDIST(-Z25)))</f>
        <v>8.42812533246639</v>
      </c>
      <c r="AC25" s="29">
        <f>B25*Volume*AB25</f>
        <v>0</v>
      </c>
      <c r="AD25" s="28">
        <f>CM_VOL(PSStrike,C25)</f>
        <v>0.264823700035085</v>
      </c>
      <c r="AE25" s="25">
        <f>(LN(D25/PSStrike)+AD25^2/2*C25)/(AD25*SQRT(C25))</f>
        <v>-0.115611754127755</v>
      </c>
      <c r="AF25" s="25">
        <f>AE25-AD25*SQRT(C25)</f>
        <v>-0.482243565157372</v>
      </c>
      <c r="AG25" s="25">
        <f>IF(Phi=1,F25*(D25*NORMSDIST(AE25)-PSStrike*NORMSDIST(AF25)),F25*(PSStrike*NORMSDIST(-AF25)-D25*NORMSDIST(-AE25)))</f>
        <v>6.65407172236863</v>
      </c>
      <c r="AH25" s="25">
        <f>IF(Phi=-1,F25*(D25*NORMSDIST(AE25)-PSStrike*NORMSDIST(AF25)),F25*(PSStrike*NORMSDIST(-AF25)-D25*NORMSDIST(-AE25)))</f>
        <v>14.1587569735525</v>
      </c>
      <c r="AI25" s="29">
        <f>B25*Volume*(AG25-(1-Participation)*AH25)</f>
        <v>0</v>
      </c>
      <c r="AJ25" s="28">
        <f>CM_VOL(DUStrike,C25)</f>
        <v>0.270780073456761</v>
      </c>
      <c r="AK25" s="25">
        <f>(LN(D25/DUStrike)+AJ25^2/2*C25)/(AJ25*SQRT(C25))</f>
        <v>0.210812166968803</v>
      </c>
      <c r="AL25" s="25">
        <f>AK25-AJ25*SQRT(C25)</f>
        <v>-0.16406586966097</v>
      </c>
      <c r="AM25" s="25">
        <f>IF(Phi=1,F25*(D25*NORMSDIST(AK25)-DUStrike*NORMSDIST(AL25)),F25*(DUStrike*NORMSDIST(-AL25)-D25*NORMSDIST(-AK25)))</f>
        <v>9.87666741365136</v>
      </c>
      <c r="AN25" s="25">
        <f>IF(Phi=-1,F25*(D25*NORMSDIST(AK25)-DUStrike*NORMSDIST(AL25)),F25*(DUStrike*NORMSDIST(-AL25)-D25*NORMSDIST(-AK25)))</f>
        <v>9.31143599100435</v>
      </c>
      <c r="AO25" s="29">
        <f>B25*Volume*(AM25-Leverage*AN25)</f>
        <v>0</v>
      </c>
    </row>
    <row r="26" spans="1:41">
      <c r="A26" s="24">
        <f>ROW()-2</f>
        <v>24</v>
      </c>
      <c r="B26" s="24">
        <f>IF(A26&lt;=NMonths,1,0)</f>
        <v>0</v>
      </c>
      <c r="C26" s="25">
        <f>A26/12</f>
        <v>2</v>
      </c>
      <c r="D26" s="26">
        <f>CM_FUTURE(C26)</f>
        <v>68.9</v>
      </c>
      <c r="E26" s="26">
        <f>D26-Front</f>
        <v>-6.09999999999999</v>
      </c>
      <c r="F26" s="27">
        <f>CM_DF(C26)</f>
        <v>0.936130864291619</v>
      </c>
      <c r="G26" s="28">
        <f>-LN(F26)/C26</f>
        <v>0.033</v>
      </c>
      <c r="H26" s="26">
        <f>D26+Phi*MarginUSD</f>
        <v>68.9</v>
      </c>
      <c r="I26" s="29">
        <f>B26*Volume*F26*Phi*(D26-H26)</f>
        <v>0</v>
      </c>
      <c r="J26" s="28">
        <f>CM_VOL(Protect,C26)</f>
        <v>0.264403864715317</v>
      </c>
      <c r="K26" s="25">
        <f>(LN(D26/Protect)+J26^2/2*C26)/(J26*SQRT(C26))</f>
        <v>-0.0399079773970434</v>
      </c>
      <c r="L26" s="25">
        <f>K26-J26*SQRT(C26)</f>
        <v>-0.413831508821305</v>
      </c>
      <c r="M26" s="25">
        <f>IF(Phi=1,F26*(D26*NORMSDIST(K26)-Protect*NORMSDIST(L26)),F26*(Protect*NORMSDIST(-L26)-D26*NORMSDIST(-K26)))</f>
        <v>7.38694230023899</v>
      </c>
      <c r="N26" s="29">
        <f>B26*Volume*M26</f>
        <v>0</v>
      </c>
      <c r="O26" s="28">
        <f>CM_VOL(Giveup,C26)</f>
        <v>0.267478689585666</v>
      </c>
      <c r="P26" s="25">
        <f>(LN(D26/Giveup)+O26^2/2*C26)/(O26*SQRT(C26))</f>
        <v>0.129198161658766</v>
      </c>
      <c r="Q26" s="25">
        <f>P26-O26*SQRT(C26)</f>
        <v>-0.249073828799067</v>
      </c>
      <c r="R26" s="25">
        <f>IF(Phi=-1,F26*(D26*NORMSDIST(P26)-Giveup*NORMSDIST(Q26)),F26*(Giveup*NORMSDIST(-Q26)-D26*NORMSDIST(-P26)))</f>
        <v>10.5436505799982</v>
      </c>
      <c r="S26" s="29">
        <f>B26*Volume*R26</f>
        <v>0</v>
      </c>
      <c r="T26" s="28">
        <f>CM_VOL(Cap3,C26)</f>
        <v>0.263453649340634</v>
      </c>
      <c r="U26" s="25">
        <f>(LN(D26/Cap3)+T26^2/2*C26)/(T26*SQRT(C26))</f>
        <v>-0.530747258227226</v>
      </c>
      <c r="V26" s="25">
        <f>U26-T26*SQRT(C26)</f>
        <v>-0.903326982181437</v>
      </c>
      <c r="W26" s="25">
        <f>IF(Phi=1,F26*(D26*NORMSDIST(U26)-Cap3*NORMSDIST(V26)),F26*(Cap3*NORMSDIST(-V26)-D26*NORMSDIST(-U26)))</f>
        <v>3.77481091668238</v>
      </c>
      <c r="X26" s="29">
        <f>B26*Volume*W26</f>
        <v>0</v>
      </c>
      <c r="Y26" s="28">
        <f>CM_VOL(Giveup3,C26)</f>
        <v>0.271379815889813</v>
      </c>
      <c r="Z26" s="25">
        <f>(LN(D26/Giveup3)+Y26^2/2*C26)/(Y26*SQRT(C26))</f>
        <v>0.280836085357853</v>
      </c>
      <c r="AA26" s="25">
        <f>Z26-Y26*SQRT(C26)</f>
        <v>-0.102952930827834</v>
      </c>
      <c r="AB26" s="25">
        <f>IF(Phi=-1,F26*(D26*NORMSDIST(Z26)-Giveup3*NORMSDIST(AA26)),F26*(Giveup3*NORMSDIST(-AA26)-D26*NORMSDIST(-Z26)))</f>
        <v>8.60593002147236</v>
      </c>
      <c r="AC26" s="29">
        <f>B26*Volume*AB26</f>
        <v>0</v>
      </c>
      <c r="AD26" s="28">
        <f>CM_VOL(PSStrike,C26)</f>
        <v>0.263525174726918</v>
      </c>
      <c r="AE26" s="25">
        <f>(LN(D26/PSStrike)+AD26^2/2*C26)/(AD26*SQRT(C26))</f>
        <v>-0.112922813904686</v>
      </c>
      <c r="AF26" s="25">
        <f>AE26-AD26*SQRT(C26)</f>
        <v>-0.485603690030234</v>
      </c>
      <c r="AG26" s="25">
        <f>IF(Phi=1,F26*(D26*NORMSDIST(AE26)-PSStrike*NORMSDIST(AF26)),F26*(PSStrike*NORMSDIST(-AF26)-D26*NORMSDIST(-AE26)))</f>
        <v>6.73491548028756</v>
      </c>
      <c r="AH26" s="25">
        <f>IF(Phi=-1,F26*(D26*NORMSDIST(AE26)-PSStrike*NORMSDIST(AF26)),F26*(PSStrike*NORMSDIST(-AF26)-D26*NORMSDIST(-AE26)))</f>
        <v>14.3450041153734</v>
      </c>
      <c r="AI26" s="29">
        <f>B26*Volume*(AG26-(1-Participation)*AH26)</f>
        <v>0</v>
      </c>
      <c r="AJ26" s="28">
        <f>CM_VOL(DUStrike,C26)</f>
        <v>0.269392112845011</v>
      </c>
      <c r="AK26" s="25">
        <f>(LN(D26/DUStrike)+AJ26^2/2*C26)/(AJ26*SQRT(C26))</f>
        <v>0.208413328543782</v>
      </c>
      <c r="AL26" s="25">
        <f>AK26-AJ26*SQRT(C26)</f>
        <v>-0.172564651037976</v>
      </c>
      <c r="AM26" s="25">
        <f>IF(Phi=1,F26*(D26*NORMSDIST(AK26)-DUStrike*NORMSDIST(AL26)),F26*(DUStrike*NORMSDIST(-AL26)-D26*NORMSDIST(-AK26)))</f>
        <v>9.93204672220744</v>
      </c>
      <c r="AN26" s="25">
        <f>IF(Phi=-1,F26*(D26*NORMSDIST(AK26)-DUStrike*NORMSDIST(AL26)),F26*(DUStrike*NORMSDIST(-AL26)-D26*NORMSDIST(-AK26)))</f>
        <v>9.49309495994109</v>
      </c>
      <c r="AO26" s="29">
        <f>B26*Volume*(AM26-Leverage*AN26)</f>
        <v>0</v>
      </c>
    </row>
    <row r="28" spans="1:41">
      <c r="A28" s="10" t="s">
        <v>74</v>
      </c>
      <c r="I28" s="30">
        <f>SUM(I3:I26)</f>
        <v>0</v>
      </c>
      <c r="N28" s="30">
        <f>SUM(N3:N26)</f>
        <v>6021322.77496804</v>
      </c>
      <c r="S28" s="30">
        <f>SUM(S3:S26)</f>
        <v>6021311.5989639</v>
      </c>
      <c r="X28" s="30">
        <f>SUM(X3:X26)</f>
        <v>1761029.98007579</v>
      </c>
      <c r="AC28" s="30">
        <f>SUM(AC3:AC26)</f>
        <v>4260304.0255062</v>
      </c>
      <c r="AI28" s="30">
        <f>SUM(AI3:AI26)</f>
        <v>21.0012809602304</v>
      </c>
      <c r="AO28" s="30">
        <f>SUM(AO3:AO26)</f>
        <v>-27.6833620264661</v>
      </c>
    </row>
    <row r="30" spans="1:41">
      <c r="A30" s="4" t="s">
        <v>75</v>
      </c>
      <c r="J30" s="25">
        <f>Pricer!J15/CM_DF((1+NMonths)/24)/TotalQ</f>
        <v>5.11749961850597</v>
      </c>
    </row>
  </sheetData>
  <mergeCells count="6">
    <mergeCell ref="J1:N1"/>
    <mergeCell ref="O1:S1"/>
    <mergeCell ref="T1:X1"/>
    <mergeCell ref="Y1:AC1"/>
    <mergeCell ref="AD1:AI1"/>
    <mergeCell ref="AJ1:AO1"/>
  </mergeCells>
  <conditionalFormatting sqref="A3:AO26">
    <cfRule type="expression" dxfId="0" priority="1">
      <formula>$B3=0</formula>
    </cfRule>
  </conditionalFormatting>
  <pageMargins left="0.4" right="0.4" top="0.5" bottom="0.5" header="0.3" footer="0.3"/>
  <pageSetup paperSize="9" fitToHeight="0" orientation="landscape"/>
</worksheet>
</file>

<file path=xl/worksheets/sheet4.xml><?xml version="1.0" encoding="utf-8"?>
<worksheet xmlns="http://schemas.openxmlformats.org/spreadsheetml/2006/main" xmlns:r="http://schemas.openxmlformats.org/officeDocument/2006/relationships">
  <sheetPr codeName="Sheet4">
    <pageSetUpPr fitToPage="1"/>
  </sheetPr>
  <dimension ref="A1:I63"/>
  <sheetViews>
    <sheetView showGridLines="0" workbookViewId="0"/>
  </sheetViews>
  <sheetFormatPr defaultRowHeight="15"/>
  <cols>
    <col min="1" max="2" width="12.7109375" customWidth="1"/>
    <col min="3" max="9" width="17.7109375" customWidth="1"/>
  </cols>
  <sheetData>
    <row r="1" spans="1:9">
      <c r="A1" s="21" t="s">
        <v>76</v>
      </c>
    </row>
    <row r="2" spans="1:9">
      <c r="A2" s="8" t="s">
        <v>77</v>
      </c>
      <c r="B2" s="8" t="s">
        <v>78</v>
      </c>
      <c r="C2" s="8" t="s">
        <v>36</v>
      </c>
      <c r="D2" s="8" t="s">
        <v>37</v>
      </c>
      <c r="E2" s="8" t="s">
        <v>38</v>
      </c>
      <c r="F2" s="8" t="s">
        <v>39</v>
      </c>
      <c r="G2" s="8" t="s">
        <v>40</v>
      </c>
      <c r="H2" s="8" t="s">
        <v>41</v>
      </c>
      <c r="I2" s="8" t="s">
        <v>42</v>
      </c>
    </row>
    <row r="3" spans="1:9">
      <c r="A3" s="28">
        <f>-0.45+(ROW()-3)*0.015</f>
        <v>-0.45</v>
      </c>
      <c r="B3" s="26">
        <f>Front*(1+A3)</f>
        <v>41.25</v>
      </c>
      <c r="C3" s="26">
        <f>B3</f>
        <v>41.25</v>
      </c>
      <c r="D3" s="26">
        <f>SUMPRODUCT(Schedule!$B$3:$B$26,Schedule!$H$3:$H$26)/NMonths</f>
        <v>72.6958333333333</v>
      </c>
      <c r="E3" s="26">
        <f>B3-Phi*MAX(Phi*(B3-Protect),0)+Phi*PremBbl</f>
        <v>46.367499618506</v>
      </c>
      <c r="F3" s="26">
        <f>B3-Phi*(MAX(Phi*(B3-Protect),0)-MAX(Phi*(Giveup-B3),0))</f>
        <v>70.48</v>
      </c>
      <c r="G3" s="26">
        <f>B3-Phi*(MAX(Phi*(B3-Protect),0)-MAX(Phi*(B3-Cap3),0)-MAX(Phi*(Giveup3-B3),0))</f>
        <v>66.5878</v>
      </c>
      <c r="H3" s="26">
        <f>B3-IF(Phi*(B3-PSStrike)&gt;0,1,1-Participation)*(B3-PSStrike)</f>
        <v>59.13965</v>
      </c>
      <c r="I3" s="26">
        <f>B3-IF(Phi*(B3-DUStrike)&gt;0,1,Leverage)*(B3-DUStrike)</f>
        <v>95.6122</v>
      </c>
    </row>
    <row r="4" spans="1:9">
      <c r="A4" s="28">
        <f>-0.45+(ROW()-3)*0.015</f>
        <v>-0.435</v>
      </c>
      <c r="B4" s="26">
        <f>Front*(1+A4)</f>
        <v>42.375</v>
      </c>
      <c r="C4" s="26">
        <f>B4</f>
        <v>42.375</v>
      </c>
      <c r="D4" s="26">
        <f>SUMPRODUCT(Schedule!$B$3:$B$26,Schedule!$H$3:$H$26)/NMonths</f>
        <v>72.6958333333333</v>
      </c>
      <c r="E4" s="26">
        <f>B4-Phi*MAX(Phi*(B4-Protect),0)+Phi*PremBbl</f>
        <v>47.492499618506</v>
      </c>
      <c r="F4" s="26">
        <f>B4-Phi*(MAX(Phi*(B4-Protect),0)-MAX(Phi*(Giveup-B4),0))</f>
        <v>70.48</v>
      </c>
      <c r="G4" s="26">
        <f>B4-Phi*(MAX(Phi*(B4-Protect),0)-MAX(Phi*(B4-Cap3),0)-MAX(Phi*(Giveup3-B4),0))</f>
        <v>66.5878</v>
      </c>
      <c r="H4" s="26">
        <f>B4-IF(Phi*(B4-PSStrike)&gt;0,1,1-Participation)*(B4-PSStrike)</f>
        <v>59.70215</v>
      </c>
      <c r="I4" s="26">
        <f>B4-IF(Phi*(B4-DUStrike)&gt;0,1,Leverage)*(B4-DUStrike)</f>
        <v>94.4872</v>
      </c>
    </row>
    <row r="5" spans="1:9">
      <c r="A5" s="28">
        <f>-0.45+(ROW()-3)*0.015</f>
        <v>-0.42</v>
      </c>
      <c r="B5" s="26">
        <f>Front*(1+A5)</f>
        <v>43.5</v>
      </c>
      <c r="C5" s="26">
        <f>B5</f>
        <v>43.5</v>
      </c>
      <c r="D5" s="26">
        <f>SUMPRODUCT(Schedule!$B$3:$B$26,Schedule!$H$3:$H$26)/NMonths</f>
        <v>72.6958333333333</v>
      </c>
      <c r="E5" s="26">
        <f>B5-Phi*MAX(Phi*(B5-Protect),0)+Phi*PremBbl</f>
        <v>48.617499618506</v>
      </c>
      <c r="F5" s="26">
        <f>B5-Phi*(MAX(Phi*(B5-Protect),0)-MAX(Phi*(Giveup-B5),0))</f>
        <v>70.48</v>
      </c>
      <c r="G5" s="26">
        <f>B5-Phi*(MAX(Phi*(B5-Protect),0)-MAX(Phi*(B5-Cap3),0)-MAX(Phi*(Giveup3-B5),0))</f>
        <v>66.5878</v>
      </c>
      <c r="H5" s="26">
        <f>B5-IF(Phi*(B5-PSStrike)&gt;0,1,1-Participation)*(B5-PSStrike)</f>
        <v>60.26465</v>
      </c>
      <c r="I5" s="26">
        <f>B5-IF(Phi*(B5-DUStrike)&gt;0,1,Leverage)*(B5-DUStrike)</f>
        <v>93.3622</v>
      </c>
    </row>
    <row r="6" spans="1:9">
      <c r="A6" s="28">
        <f>-0.45+(ROW()-3)*0.015</f>
        <v>-0.405</v>
      </c>
      <c r="B6" s="26">
        <f>Front*(1+A6)</f>
        <v>44.625</v>
      </c>
      <c r="C6" s="26">
        <f>B6</f>
        <v>44.625</v>
      </c>
      <c r="D6" s="26">
        <f>SUMPRODUCT(Schedule!$B$3:$B$26,Schedule!$H$3:$H$26)/NMonths</f>
        <v>72.6958333333333</v>
      </c>
      <c r="E6" s="26">
        <f>B6-Phi*MAX(Phi*(B6-Protect),0)+Phi*PremBbl</f>
        <v>49.742499618506</v>
      </c>
      <c r="F6" s="26">
        <f>B6-Phi*(MAX(Phi*(B6-Protect),0)-MAX(Phi*(Giveup-B6),0))</f>
        <v>70.48</v>
      </c>
      <c r="G6" s="26">
        <f>B6-Phi*(MAX(Phi*(B6-Protect),0)-MAX(Phi*(B6-Cap3),0)-MAX(Phi*(Giveup3-B6),0))</f>
        <v>66.5878</v>
      </c>
      <c r="H6" s="26">
        <f>B6-IF(Phi*(B6-PSStrike)&gt;0,1,1-Participation)*(B6-PSStrike)</f>
        <v>60.82715</v>
      </c>
      <c r="I6" s="26">
        <f>B6-IF(Phi*(B6-DUStrike)&gt;0,1,Leverage)*(B6-DUStrike)</f>
        <v>92.2372</v>
      </c>
    </row>
    <row r="7" spans="1:9">
      <c r="A7" s="28">
        <f>-0.45+(ROW()-3)*0.015</f>
        <v>-0.39</v>
      </c>
      <c r="B7" s="26">
        <f>Front*(1+A7)</f>
        <v>45.75</v>
      </c>
      <c r="C7" s="26">
        <f>B7</f>
        <v>45.75</v>
      </c>
      <c r="D7" s="26">
        <f>SUMPRODUCT(Schedule!$B$3:$B$26,Schedule!$H$3:$H$26)/NMonths</f>
        <v>72.6958333333333</v>
      </c>
      <c r="E7" s="26">
        <f>B7-Phi*MAX(Phi*(B7-Protect),0)+Phi*PremBbl</f>
        <v>50.867499618506</v>
      </c>
      <c r="F7" s="26">
        <f>B7-Phi*(MAX(Phi*(B7-Protect),0)-MAX(Phi*(Giveup-B7),0))</f>
        <v>70.48</v>
      </c>
      <c r="G7" s="26">
        <f>B7-Phi*(MAX(Phi*(B7-Protect),0)-MAX(Phi*(B7-Cap3),0)-MAX(Phi*(Giveup3-B7),0))</f>
        <v>66.5878</v>
      </c>
      <c r="H7" s="26">
        <f>B7-IF(Phi*(B7-PSStrike)&gt;0,1,1-Participation)*(B7-PSStrike)</f>
        <v>61.38965</v>
      </c>
      <c r="I7" s="26">
        <f>B7-IF(Phi*(B7-DUStrike)&gt;0,1,Leverage)*(B7-DUStrike)</f>
        <v>91.1122</v>
      </c>
    </row>
    <row r="8" spans="1:9">
      <c r="A8" s="28">
        <f>-0.45+(ROW()-3)*0.015</f>
        <v>-0.375</v>
      </c>
      <c r="B8" s="26">
        <f>Front*(1+A8)</f>
        <v>46.875</v>
      </c>
      <c r="C8" s="26">
        <f>B8</f>
        <v>46.875</v>
      </c>
      <c r="D8" s="26">
        <f>SUMPRODUCT(Schedule!$B$3:$B$26,Schedule!$H$3:$H$26)/NMonths</f>
        <v>72.6958333333333</v>
      </c>
      <c r="E8" s="26">
        <f>B8-Phi*MAX(Phi*(B8-Protect),0)+Phi*PremBbl</f>
        <v>51.992499618506</v>
      </c>
      <c r="F8" s="26">
        <f>B8-Phi*(MAX(Phi*(B8-Protect),0)-MAX(Phi*(Giveup-B8),0))</f>
        <v>70.48</v>
      </c>
      <c r="G8" s="26">
        <f>B8-Phi*(MAX(Phi*(B8-Protect),0)-MAX(Phi*(B8-Cap3),0)-MAX(Phi*(Giveup3-B8),0))</f>
        <v>66.5878</v>
      </c>
      <c r="H8" s="26">
        <f>B8-IF(Phi*(B8-PSStrike)&gt;0,1,1-Participation)*(B8-PSStrike)</f>
        <v>61.95215</v>
      </c>
      <c r="I8" s="26">
        <f>B8-IF(Phi*(B8-DUStrike)&gt;0,1,Leverage)*(B8-DUStrike)</f>
        <v>89.9872</v>
      </c>
    </row>
    <row r="9" spans="1:9">
      <c r="A9" s="28">
        <f>-0.45+(ROW()-3)*0.015</f>
        <v>-0.36</v>
      </c>
      <c r="B9" s="26">
        <f>Front*(1+A9)</f>
        <v>48</v>
      </c>
      <c r="C9" s="26">
        <f>B9</f>
        <v>48</v>
      </c>
      <c r="D9" s="26">
        <f>SUMPRODUCT(Schedule!$B$3:$B$26,Schedule!$H$3:$H$26)/NMonths</f>
        <v>72.6958333333333</v>
      </c>
      <c r="E9" s="26">
        <f>B9-Phi*MAX(Phi*(B9-Protect),0)+Phi*PremBbl</f>
        <v>53.117499618506</v>
      </c>
      <c r="F9" s="26">
        <f>B9-Phi*(MAX(Phi*(B9-Protect),0)-MAX(Phi*(Giveup-B9),0))</f>
        <v>70.48</v>
      </c>
      <c r="G9" s="26">
        <f>B9-Phi*(MAX(Phi*(B9-Protect),0)-MAX(Phi*(B9-Cap3),0)-MAX(Phi*(Giveup3-B9),0))</f>
        <v>66.5878</v>
      </c>
      <c r="H9" s="26">
        <f>B9-IF(Phi*(B9-PSStrike)&gt;0,1,1-Participation)*(B9-PSStrike)</f>
        <v>62.51465</v>
      </c>
      <c r="I9" s="26">
        <f>B9-IF(Phi*(B9-DUStrike)&gt;0,1,Leverage)*(B9-DUStrike)</f>
        <v>88.8622</v>
      </c>
    </row>
    <row r="10" spans="1:9">
      <c r="A10" s="28">
        <f>-0.45+(ROW()-3)*0.015</f>
        <v>-0.345</v>
      </c>
      <c r="B10" s="26">
        <f>Front*(1+A10)</f>
        <v>49.125</v>
      </c>
      <c r="C10" s="26">
        <f>B10</f>
        <v>49.125</v>
      </c>
      <c r="D10" s="26">
        <f>SUMPRODUCT(Schedule!$B$3:$B$26,Schedule!$H$3:$H$26)/NMonths</f>
        <v>72.6958333333333</v>
      </c>
      <c r="E10" s="26">
        <f>B10-Phi*MAX(Phi*(B10-Protect),0)+Phi*PremBbl</f>
        <v>54.242499618506</v>
      </c>
      <c r="F10" s="26">
        <f>B10-Phi*(MAX(Phi*(B10-Protect),0)-MAX(Phi*(Giveup-B10),0))</f>
        <v>70.48</v>
      </c>
      <c r="G10" s="26">
        <f>B10-Phi*(MAX(Phi*(B10-Protect),0)-MAX(Phi*(B10-Cap3),0)-MAX(Phi*(Giveup3-B10),0))</f>
        <v>66.5878</v>
      </c>
      <c r="H10" s="26">
        <f>B10-IF(Phi*(B10-PSStrike)&gt;0,1,1-Participation)*(B10-PSStrike)</f>
        <v>63.07715</v>
      </c>
      <c r="I10" s="26">
        <f>B10-IF(Phi*(B10-DUStrike)&gt;0,1,Leverage)*(B10-DUStrike)</f>
        <v>87.7372</v>
      </c>
    </row>
    <row r="11" spans="1:9">
      <c r="A11" s="28">
        <f>-0.45+(ROW()-3)*0.015</f>
        <v>-0.33</v>
      </c>
      <c r="B11" s="26">
        <f>Front*(1+A11)</f>
        <v>50.25</v>
      </c>
      <c r="C11" s="26">
        <f>B11</f>
        <v>50.25</v>
      </c>
      <c r="D11" s="26">
        <f>SUMPRODUCT(Schedule!$B$3:$B$26,Schedule!$H$3:$H$26)/NMonths</f>
        <v>72.6958333333333</v>
      </c>
      <c r="E11" s="26">
        <f>B11-Phi*MAX(Phi*(B11-Protect),0)+Phi*PremBbl</f>
        <v>55.367499618506</v>
      </c>
      <c r="F11" s="26">
        <f>B11-Phi*(MAX(Phi*(B11-Protect),0)-MAX(Phi*(Giveup-B11),0))</f>
        <v>70.48</v>
      </c>
      <c r="G11" s="26">
        <f>B11-Phi*(MAX(Phi*(B11-Protect),0)-MAX(Phi*(B11-Cap3),0)-MAX(Phi*(Giveup3-B11),0))</f>
        <v>66.5878</v>
      </c>
      <c r="H11" s="26">
        <f>B11-IF(Phi*(B11-PSStrike)&gt;0,1,1-Participation)*(B11-PSStrike)</f>
        <v>63.63965</v>
      </c>
      <c r="I11" s="26">
        <f>B11-IF(Phi*(B11-DUStrike)&gt;0,1,Leverage)*(B11-DUStrike)</f>
        <v>86.6122</v>
      </c>
    </row>
    <row r="12" spans="1:9">
      <c r="A12" s="28">
        <f>-0.45+(ROW()-3)*0.015</f>
        <v>-0.315</v>
      </c>
      <c r="B12" s="26">
        <f>Front*(1+A12)</f>
        <v>51.375</v>
      </c>
      <c r="C12" s="26">
        <f>B12</f>
        <v>51.375</v>
      </c>
      <c r="D12" s="26">
        <f>SUMPRODUCT(Schedule!$B$3:$B$26,Schedule!$H$3:$H$26)/NMonths</f>
        <v>72.6958333333333</v>
      </c>
      <c r="E12" s="26">
        <f>B12-Phi*MAX(Phi*(B12-Protect),0)+Phi*PremBbl</f>
        <v>56.492499618506</v>
      </c>
      <c r="F12" s="26">
        <f>B12-Phi*(MAX(Phi*(B12-Protect),0)-MAX(Phi*(Giveup-B12),0))</f>
        <v>70.48</v>
      </c>
      <c r="G12" s="26">
        <f>B12-Phi*(MAX(Phi*(B12-Protect),0)-MAX(Phi*(B12-Cap3),0)-MAX(Phi*(Giveup3-B12),0))</f>
        <v>66.5878</v>
      </c>
      <c r="H12" s="26">
        <f>B12-IF(Phi*(B12-PSStrike)&gt;0,1,1-Participation)*(B12-PSStrike)</f>
        <v>64.20215</v>
      </c>
      <c r="I12" s="26">
        <f>B12-IF(Phi*(B12-DUStrike)&gt;0,1,Leverage)*(B12-DUStrike)</f>
        <v>85.4872</v>
      </c>
    </row>
    <row r="13" spans="1:9">
      <c r="A13" s="28">
        <f>-0.45+(ROW()-3)*0.015</f>
        <v>-0.3</v>
      </c>
      <c r="B13" s="26">
        <f>Front*(1+A13)</f>
        <v>52.5</v>
      </c>
      <c r="C13" s="26">
        <f>B13</f>
        <v>52.5</v>
      </c>
      <c r="D13" s="26">
        <f>SUMPRODUCT(Schedule!$B$3:$B$26,Schedule!$H$3:$H$26)/NMonths</f>
        <v>72.6958333333333</v>
      </c>
      <c r="E13" s="26">
        <f>B13-Phi*MAX(Phi*(B13-Protect),0)+Phi*PremBbl</f>
        <v>57.617499618506</v>
      </c>
      <c r="F13" s="26">
        <f>B13-Phi*(MAX(Phi*(B13-Protect),0)-MAX(Phi*(Giveup-B13),0))</f>
        <v>70.48</v>
      </c>
      <c r="G13" s="26">
        <f>B13-Phi*(MAX(Phi*(B13-Protect),0)-MAX(Phi*(B13-Cap3),0)-MAX(Phi*(Giveup3-B13),0))</f>
        <v>66.5878</v>
      </c>
      <c r="H13" s="26">
        <f>B13-IF(Phi*(B13-PSStrike)&gt;0,1,1-Participation)*(B13-PSStrike)</f>
        <v>64.76465</v>
      </c>
      <c r="I13" s="26">
        <f>B13-IF(Phi*(B13-DUStrike)&gt;0,1,Leverage)*(B13-DUStrike)</f>
        <v>84.3622</v>
      </c>
    </row>
    <row r="14" spans="1:9">
      <c r="A14" s="28">
        <f>-0.45+(ROW()-3)*0.015</f>
        <v>-0.285</v>
      </c>
      <c r="B14" s="26">
        <f>Front*(1+A14)</f>
        <v>53.625</v>
      </c>
      <c r="C14" s="26">
        <f>B14</f>
        <v>53.625</v>
      </c>
      <c r="D14" s="26">
        <f>SUMPRODUCT(Schedule!$B$3:$B$26,Schedule!$H$3:$H$26)/NMonths</f>
        <v>72.6958333333333</v>
      </c>
      <c r="E14" s="26">
        <f>B14-Phi*MAX(Phi*(B14-Protect),0)+Phi*PremBbl</f>
        <v>58.742499618506</v>
      </c>
      <c r="F14" s="26">
        <f>B14-Phi*(MAX(Phi*(B14-Protect),0)-MAX(Phi*(Giveup-B14),0))</f>
        <v>70.48</v>
      </c>
      <c r="G14" s="26">
        <f>B14-Phi*(MAX(Phi*(B14-Protect),0)-MAX(Phi*(B14-Cap3),0)-MAX(Phi*(Giveup3-B14),0))</f>
        <v>66.5878</v>
      </c>
      <c r="H14" s="26">
        <f>B14-IF(Phi*(B14-PSStrike)&gt;0,1,1-Participation)*(B14-PSStrike)</f>
        <v>65.32715</v>
      </c>
      <c r="I14" s="26">
        <f>B14-IF(Phi*(B14-DUStrike)&gt;0,1,Leverage)*(B14-DUStrike)</f>
        <v>83.2372</v>
      </c>
    </row>
    <row r="15" spans="1:9">
      <c r="A15" s="28">
        <f>-0.45+(ROW()-3)*0.015</f>
        <v>-0.27</v>
      </c>
      <c r="B15" s="26">
        <f>Front*(1+A15)</f>
        <v>54.75</v>
      </c>
      <c r="C15" s="26">
        <f>B15</f>
        <v>54.75</v>
      </c>
      <c r="D15" s="26">
        <f>SUMPRODUCT(Schedule!$B$3:$B$26,Schedule!$H$3:$H$26)/NMonths</f>
        <v>72.6958333333333</v>
      </c>
      <c r="E15" s="26">
        <f>B15-Phi*MAX(Phi*(B15-Protect),0)+Phi*PremBbl</f>
        <v>59.867499618506</v>
      </c>
      <c r="F15" s="26">
        <f>B15-Phi*(MAX(Phi*(B15-Protect),0)-MAX(Phi*(Giveup-B15),0))</f>
        <v>70.48</v>
      </c>
      <c r="G15" s="26">
        <f>B15-Phi*(MAX(Phi*(B15-Protect),0)-MAX(Phi*(B15-Cap3),0)-MAX(Phi*(Giveup3-B15),0))</f>
        <v>66.5878</v>
      </c>
      <c r="H15" s="26">
        <f>B15-IF(Phi*(B15-PSStrike)&gt;0,1,1-Participation)*(B15-PSStrike)</f>
        <v>65.88965</v>
      </c>
      <c r="I15" s="26">
        <f>B15-IF(Phi*(B15-DUStrike)&gt;0,1,Leverage)*(B15-DUStrike)</f>
        <v>82.1122</v>
      </c>
    </row>
    <row r="16" spans="1:9">
      <c r="A16" s="28">
        <f>-0.45+(ROW()-3)*0.015</f>
        <v>-0.255</v>
      </c>
      <c r="B16" s="26">
        <f>Front*(1+A16)</f>
        <v>55.875</v>
      </c>
      <c r="C16" s="26">
        <f>B16</f>
        <v>55.875</v>
      </c>
      <c r="D16" s="26">
        <f>SUMPRODUCT(Schedule!$B$3:$B$26,Schedule!$H$3:$H$26)/NMonths</f>
        <v>72.6958333333333</v>
      </c>
      <c r="E16" s="26">
        <f>B16-Phi*MAX(Phi*(B16-Protect),0)+Phi*PremBbl</f>
        <v>60.992499618506</v>
      </c>
      <c r="F16" s="26">
        <f>B16-Phi*(MAX(Phi*(B16-Protect),0)-MAX(Phi*(Giveup-B16),0))</f>
        <v>70.48</v>
      </c>
      <c r="G16" s="26">
        <f>B16-Phi*(MAX(Phi*(B16-Protect),0)-MAX(Phi*(B16-Cap3),0)-MAX(Phi*(Giveup3-B16),0))</f>
        <v>66.5878</v>
      </c>
      <c r="H16" s="26">
        <f>B16-IF(Phi*(B16-PSStrike)&gt;0,1,1-Participation)*(B16-PSStrike)</f>
        <v>66.45215</v>
      </c>
      <c r="I16" s="26">
        <f>B16-IF(Phi*(B16-DUStrike)&gt;0,1,Leverage)*(B16-DUStrike)</f>
        <v>80.9872</v>
      </c>
    </row>
    <row r="17" spans="1:9">
      <c r="A17" s="28">
        <f>-0.45+(ROW()-3)*0.015</f>
        <v>-0.24</v>
      </c>
      <c r="B17" s="26">
        <f>Front*(1+A17)</f>
        <v>57</v>
      </c>
      <c r="C17" s="26">
        <f>B17</f>
        <v>57</v>
      </c>
      <c r="D17" s="26">
        <f>SUMPRODUCT(Schedule!$B$3:$B$26,Schedule!$H$3:$H$26)/NMonths</f>
        <v>72.6958333333333</v>
      </c>
      <c r="E17" s="26">
        <f>B17-Phi*MAX(Phi*(B17-Protect),0)+Phi*PremBbl</f>
        <v>62.117499618506</v>
      </c>
      <c r="F17" s="26">
        <f>B17-Phi*(MAX(Phi*(B17-Protect),0)-MAX(Phi*(Giveup-B17),0))</f>
        <v>70.48</v>
      </c>
      <c r="G17" s="26">
        <f>B17-Phi*(MAX(Phi*(B17-Protect),0)-MAX(Phi*(B17-Cap3),0)-MAX(Phi*(Giveup3-B17),0))</f>
        <v>66.5878</v>
      </c>
      <c r="H17" s="26">
        <f>B17-IF(Phi*(B17-PSStrike)&gt;0,1,1-Participation)*(B17-PSStrike)</f>
        <v>67.01465</v>
      </c>
      <c r="I17" s="26">
        <f>B17-IF(Phi*(B17-DUStrike)&gt;0,1,Leverage)*(B17-DUStrike)</f>
        <v>79.8622</v>
      </c>
    </row>
    <row r="18" spans="1:9">
      <c r="A18" s="28">
        <f>-0.45+(ROW()-3)*0.015</f>
        <v>-0.225</v>
      </c>
      <c r="B18" s="26">
        <f>Front*(1+A18)</f>
        <v>58.125</v>
      </c>
      <c r="C18" s="26">
        <f>B18</f>
        <v>58.125</v>
      </c>
      <c r="D18" s="26">
        <f>SUMPRODUCT(Schedule!$B$3:$B$26,Schedule!$H$3:$H$26)/NMonths</f>
        <v>72.6958333333333</v>
      </c>
      <c r="E18" s="26">
        <f>B18-Phi*MAX(Phi*(B18-Protect),0)+Phi*PremBbl</f>
        <v>63.242499618506</v>
      </c>
      <c r="F18" s="26">
        <f>B18-Phi*(MAX(Phi*(B18-Protect),0)-MAX(Phi*(Giveup-B18),0))</f>
        <v>70.48</v>
      </c>
      <c r="G18" s="26">
        <f>B18-Phi*(MAX(Phi*(B18-Protect),0)-MAX(Phi*(B18-Cap3),0)-MAX(Phi*(Giveup3-B18),0))</f>
        <v>66.5878</v>
      </c>
      <c r="H18" s="26">
        <f>B18-IF(Phi*(B18-PSStrike)&gt;0,1,1-Participation)*(B18-PSStrike)</f>
        <v>67.57715</v>
      </c>
      <c r="I18" s="26">
        <f>B18-IF(Phi*(B18-DUStrike)&gt;0,1,Leverage)*(B18-DUStrike)</f>
        <v>78.7372</v>
      </c>
    </row>
    <row r="19" spans="1:9">
      <c r="A19" s="28">
        <f>-0.45+(ROW()-3)*0.015</f>
        <v>-0.21</v>
      </c>
      <c r="B19" s="26">
        <f>Front*(1+A19)</f>
        <v>59.25</v>
      </c>
      <c r="C19" s="26">
        <f>B19</f>
        <v>59.25</v>
      </c>
      <c r="D19" s="26">
        <f>SUMPRODUCT(Schedule!$B$3:$B$26,Schedule!$H$3:$H$26)/NMonths</f>
        <v>72.6958333333333</v>
      </c>
      <c r="E19" s="26">
        <f>B19-Phi*MAX(Phi*(B19-Protect),0)+Phi*PremBbl</f>
        <v>64.367499618506</v>
      </c>
      <c r="F19" s="26">
        <f>B19-Phi*(MAX(Phi*(B19-Protect),0)-MAX(Phi*(Giveup-B19),0))</f>
        <v>70.48</v>
      </c>
      <c r="G19" s="26">
        <f>B19-Phi*(MAX(Phi*(B19-Protect),0)-MAX(Phi*(B19-Cap3),0)-MAX(Phi*(Giveup3-B19),0))</f>
        <v>66.5878</v>
      </c>
      <c r="H19" s="26">
        <f>B19-IF(Phi*(B19-PSStrike)&gt;0,1,1-Participation)*(B19-PSStrike)</f>
        <v>68.13965</v>
      </c>
      <c r="I19" s="26">
        <f>B19-IF(Phi*(B19-DUStrike)&gt;0,1,Leverage)*(B19-DUStrike)</f>
        <v>77.6122</v>
      </c>
    </row>
    <row r="20" spans="1:9">
      <c r="A20" s="28">
        <f>-0.45+(ROW()-3)*0.015</f>
        <v>-0.195</v>
      </c>
      <c r="B20" s="26">
        <f>Front*(1+A20)</f>
        <v>60.375</v>
      </c>
      <c r="C20" s="26">
        <f>B20</f>
        <v>60.375</v>
      </c>
      <c r="D20" s="26">
        <f>SUMPRODUCT(Schedule!$B$3:$B$26,Schedule!$H$3:$H$26)/NMonths</f>
        <v>72.6958333333333</v>
      </c>
      <c r="E20" s="26">
        <f>B20-Phi*MAX(Phi*(B20-Protect),0)+Phi*PremBbl</f>
        <v>65.492499618506</v>
      </c>
      <c r="F20" s="26">
        <f>B20-Phi*(MAX(Phi*(B20-Protect),0)-MAX(Phi*(Giveup-B20),0))</f>
        <v>70.48</v>
      </c>
      <c r="G20" s="26">
        <f>B20-Phi*(MAX(Phi*(B20-Protect),0)-MAX(Phi*(B20-Cap3),0)-MAX(Phi*(Giveup3-B20),0))</f>
        <v>66.5878</v>
      </c>
      <c r="H20" s="26">
        <f>B20-IF(Phi*(B20-PSStrike)&gt;0,1,1-Participation)*(B20-PSStrike)</f>
        <v>68.70215</v>
      </c>
      <c r="I20" s="26">
        <f>B20-IF(Phi*(B20-DUStrike)&gt;0,1,Leverage)*(B20-DUStrike)</f>
        <v>76.4872</v>
      </c>
    </row>
    <row r="21" spans="1:9">
      <c r="A21" s="28">
        <f>-0.45+(ROW()-3)*0.015</f>
        <v>-0.18</v>
      </c>
      <c r="B21" s="26">
        <f>Front*(1+A21)</f>
        <v>61.5</v>
      </c>
      <c r="C21" s="26">
        <f>B21</f>
        <v>61.5</v>
      </c>
      <c r="D21" s="26">
        <f>SUMPRODUCT(Schedule!$B$3:$B$26,Schedule!$H$3:$H$26)/NMonths</f>
        <v>72.6958333333333</v>
      </c>
      <c r="E21" s="26">
        <f>B21-Phi*MAX(Phi*(B21-Protect),0)+Phi*PremBbl</f>
        <v>66.617499618506</v>
      </c>
      <c r="F21" s="26">
        <f>B21-Phi*(MAX(Phi*(B21-Protect),0)-MAX(Phi*(Giveup-B21),0))</f>
        <v>70.48</v>
      </c>
      <c r="G21" s="26">
        <f>B21-Phi*(MAX(Phi*(B21-Protect),0)-MAX(Phi*(B21-Cap3),0)-MAX(Phi*(Giveup3-B21),0))</f>
        <v>66.5878</v>
      </c>
      <c r="H21" s="26">
        <f>B21-IF(Phi*(B21-PSStrike)&gt;0,1,1-Participation)*(B21-PSStrike)</f>
        <v>69.26465</v>
      </c>
      <c r="I21" s="26">
        <f>B21-IF(Phi*(B21-DUStrike)&gt;0,1,Leverage)*(B21-DUStrike)</f>
        <v>75.3622</v>
      </c>
    </row>
    <row r="22" spans="1:9">
      <c r="A22" s="28">
        <f>-0.45+(ROW()-3)*0.015</f>
        <v>-0.165</v>
      </c>
      <c r="B22" s="26">
        <f>Front*(1+A22)</f>
        <v>62.625</v>
      </c>
      <c r="C22" s="26">
        <f>B22</f>
        <v>62.625</v>
      </c>
      <c r="D22" s="26">
        <f>SUMPRODUCT(Schedule!$B$3:$B$26,Schedule!$H$3:$H$26)/NMonths</f>
        <v>72.6958333333333</v>
      </c>
      <c r="E22" s="26">
        <f>B22-Phi*MAX(Phi*(B22-Protect),0)+Phi*PremBbl</f>
        <v>67.742499618506</v>
      </c>
      <c r="F22" s="26">
        <f>B22-Phi*(MAX(Phi*(B22-Protect),0)-MAX(Phi*(Giveup-B22),0))</f>
        <v>70.48</v>
      </c>
      <c r="G22" s="26">
        <f>B22-Phi*(MAX(Phi*(B22-Protect),0)-MAX(Phi*(B22-Cap3),0)-MAX(Phi*(Giveup3-B22),0))</f>
        <v>66.5878</v>
      </c>
      <c r="H22" s="26">
        <f>B22-IF(Phi*(B22-PSStrike)&gt;0,1,1-Participation)*(B22-PSStrike)</f>
        <v>69.82715</v>
      </c>
      <c r="I22" s="26">
        <f>B22-IF(Phi*(B22-DUStrike)&gt;0,1,Leverage)*(B22-DUStrike)</f>
        <v>74.2372</v>
      </c>
    </row>
    <row r="23" spans="1:9">
      <c r="A23" s="28">
        <f>-0.45+(ROW()-3)*0.015</f>
        <v>-0.15</v>
      </c>
      <c r="B23" s="26">
        <f>Front*(1+A23)</f>
        <v>63.75</v>
      </c>
      <c r="C23" s="26">
        <f>B23</f>
        <v>63.75</v>
      </c>
      <c r="D23" s="26">
        <f>SUMPRODUCT(Schedule!$B$3:$B$26,Schedule!$H$3:$H$26)/NMonths</f>
        <v>72.6958333333333</v>
      </c>
      <c r="E23" s="26">
        <f>B23-Phi*MAX(Phi*(B23-Protect),0)+Phi*PremBbl</f>
        <v>68.867499618506</v>
      </c>
      <c r="F23" s="26">
        <f>B23-Phi*(MAX(Phi*(B23-Protect),0)-MAX(Phi*(Giveup-B23),0))</f>
        <v>70.48</v>
      </c>
      <c r="G23" s="26">
        <f>B23-Phi*(MAX(Phi*(B23-Protect),0)-MAX(Phi*(B23-Cap3),0)-MAX(Phi*(Giveup3-B23),0))</f>
        <v>66.5878</v>
      </c>
      <c r="H23" s="26">
        <f>B23-IF(Phi*(B23-PSStrike)&gt;0,1,1-Participation)*(B23-PSStrike)</f>
        <v>70.38965</v>
      </c>
      <c r="I23" s="26">
        <f>B23-IF(Phi*(B23-DUStrike)&gt;0,1,Leverage)*(B23-DUStrike)</f>
        <v>73.1122</v>
      </c>
    </row>
    <row r="24" spans="1:9">
      <c r="A24" s="28">
        <f>-0.45+(ROW()-3)*0.015</f>
        <v>-0.135</v>
      </c>
      <c r="B24" s="26">
        <f>Front*(1+A24)</f>
        <v>64.875</v>
      </c>
      <c r="C24" s="26">
        <f>B24</f>
        <v>64.875</v>
      </c>
      <c r="D24" s="26">
        <f>SUMPRODUCT(Schedule!$B$3:$B$26,Schedule!$H$3:$H$26)/NMonths</f>
        <v>72.6958333333333</v>
      </c>
      <c r="E24" s="26">
        <f>B24-Phi*MAX(Phi*(B24-Protect),0)+Phi*PremBbl</f>
        <v>69.992499618506</v>
      </c>
      <c r="F24" s="26">
        <f>B24-Phi*(MAX(Phi*(B24-Protect),0)-MAX(Phi*(Giveup-B24),0))</f>
        <v>70.48</v>
      </c>
      <c r="G24" s="26">
        <f>B24-Phi*(MAX(Phi*(B24-Protect),0)-MAX(Phi*(B24-Cap3),0)-MAX(Phi*(Giveup3-B24),0))</f>
        <v>66.5878</v>
      </c>
      <c r="H24" s="26">
        <f>B24-IF(Phi*(B24-PSStrike)&gt;0,1,1-Participation)*(B24-PSStrike)</f>
        <v>70.95215</v>
      </c>
      <c r="I24" s="26">
        <f>B24-IF(Phi*(B24-DUStrike)&gt;0,1,Leverage)*(B24-DUStrike)</f>
        <v>71.9872</v>
      </c>
    </row>
    <row r="25" spans="1:9">
      <c r="A25" s="28">
        <f>-0.45+(ROW()-3)*0.015</f>
        <v>-0.12</v>
      </c>
      <c r="B25" s="26">
        <f>Front*(1+A25)</f>
        <v>66</v>
      </c>
      <c r="C25" s="26">
        <f>B25</f>
        <v>66</v>
      </c>
      <c r="D25" s="26">
        <f>SUMPRODUCT(Schedule!$B$3:$B$26,Schedule!$H$3:$H$26)/NMonths</f>
        <v>72.6958333333333</v>
      </c>
      <c r="E25" s="26">
        <f>B25-Phi*MAX(Phi*(B25-Protect),0)+Phi*PremBbl</f>
        <v>71.117499618506</v>
      </c>
      <c r="F25" s="26">
        <f>B25-Phi*(MAX(Phi*(B25-Protect),0)-MAX(Phi*(Giveup-B25),0))</f>
        <v>70.48</v>
      </c>
      <c r="G25" s="26">
        <f>B25-Phi*(MAX(Phi*(B25-Protect),0)-MAX(Phi*(B25-Cap3),0)-MAX(Phi*(Giveup3-B25),0))</f>
        <v>66.5878</v>
      </c>
      <c r="H25" s="26">
        <f>B25-IF(Phi*(B25-PSStrike)&gt;0,1,1-Participation)*(B25-PSStrike)</f>
        <v>71.51465</v>
      </c>
      <c r="I25" s="26">
        <f>B25-IF(Phi*(B25-DUStrike)&gt;0,1,Leverage)*(B25-DUStrike)</f>
        <v>70.8622</v>
      </c>
    </row>
    <row r="26" spans="1:9">
      <c r="A26" s="28">
        <f>-0.45+(ROW()-3)*0.015</f>
        <v>-0.105</v>
      </c>
      <c r="B26" s="26">
        <f>Front*(1+A26)</f>
        <v>67.125</v>
      </c>
      <c r="C26" s="26">
        <f>B26</f>
        <v>67.125</v>
      </c>
      <c r="D26" s="26">
        <f>SUMPRODUCT(Schedule!$B$3:$B$26,Schedule!$H$3:$H$26)/NMonths</f>
        <v>72.6958333333333</v>
      </c>
      <c r="E26" s="26">
        <f>B26-Phi*MAX(Phi*(B26-Protect),0)+Phi*PremBbl</f>
        <v>72.242499618506</v>
      </c>
      <c r="F26" s="26">
        <f>B26-Phi*(MAX(Phi*(B26-Protect),0)-MAX(Phi*(Giveup-B26),0))</f>
        <v>70.48</v>
      </c>
      <c r="G26" s="26">
        <f>B26-Phi*(MAX(Phi*(B26-Protect),0)-MAX(Phi*(B26-Cap3),0)-MAX(Phi*(Giveup3-B26),0))</f>
        <v>67.125</v>
      </c>
      <c r="H26" s="26">
        <f>B26-IF(Phi*(B26-PSStrike)&gt;0,1,1-Participation)*(B26-PSStrike)</f>
        <v>72.07715</v>
      </c>
      <c r="I26" s="26">
        <f>B26-IF(Phi*(B26-DUStrike)&gt;0,1,Leverage)*(B26-DUStrike)</f>
        <v>69.7372</v>
      </c>
    </row>
    <row r="27" spans="1:9">
      <c r="A27" s="28">
        <f>-0.45+(ROW()-3)*0.015</f>
        <v>-0.09</v>
      </c>
      <c r="B27" s="26">
        <f>Front*(1+A27)</f>
        <v>68.25</v>
      </c>
      <c r="C27" s="26">
        <f>B27</f>
        <v>68.25</v>
      </c>
      <c r="D27" s="26">
        <f>SUMPRODUCT(Schedule!$B$3:$B$26,Schedule!$H$3:$H$26)/NMonths</f>
        <v>72.6958333333333</v>
      </c>
      <c r="E27" s="26">
        <f>B27-Phi*MAX(Phi*(B27-Protect),0)+Phi*PremBbl</f>
        <v>73.367499618506</v>
      </c>
      <c r="F27" s="26">
        <f>B27-Phi*(MAX(Phi*(B27-Protect),0)-MAX(Phi*(Giveup-B27),0))</f>
        <v>70.48</v>
      </c>
      <c r="G27" s="26">
        <f>B27-Phi*(MAX(Phi*(B27-Protect),0)-MAX(Phi*(B27-Cap3),0)-MAX(Phi*(Giveup3-B27),0))</f>
        <v>68.25</v>
      </c>
      <c r="H27" s="26">
        <f>B27-IF(Phi*(B27-PSStrike)&gt;0,1,1-Participation)*(B27-PSStrike)</f>
        <v>72.63965</v>
      </c>
      <c r="I27" s="26">
        <f>B27-IF(Phi*(B27-DUStrike)&gt;0,1,Leverage)*(B27-DUStrike)</f>
        <v>68.6122</v>
      </c>
    </row>
    <row r="28" spans="1:9">
      <c r="A28" s="28">
        <f>-0.45+(ROW()-3)*0.015</f>
        <v>-0.075</v>
      </c>
      <c r="B28" s="26">
        <f>Front*(1+A28)</f>
        <v>69.375</v>
      </c>
      <c r="C28" s="26">
        <f>B28</f>
        <v>69.375</v>
      </c>
      <c r="D28" s="26">
        <f>SUMPRODUCT(Schedule!$B$3:$B$26,Schedule!$H$3:$H$26)/NMonths</f>
        <v>72.6958333333333</v>
      </c>
      <c r="E28" s="26">
        <f>B28-Phi*MAX(Phi*(B28-Protect),0)+Phi*PremBbl</f>
        <v>74.492499618506</v>
      </c>
      <c r="F28" s="26">
        <f>B28-Phi*(MAX(Phi*(B28-Protect),0)-MAX(Phi*(Giveup-B28),0))</f>
        <v>70.48</v>
      </c>
      <c r="G28" s="26">
        <f>B28-Phi*(MAX(Phi*(B28-Protect),0)-MAX(Phi*(B28-Cap3),0)-MAX(Phi*(Giveup3-B28),0))</f>
        <v>69.375</v>
      </c>
      <c r="H28" s="26">
        <f>B28-IF(Phi*(B28-PSStrike)&gt;0,1,1-Participation)*(B28-PSStrike)</f>
        <v>73.20215</v>
      </c>
      <c r="I28" s="26">
        <f>B28-IF(Phi*(B28-DUStrike)&gt;0,1,Leverage)*(B28-DUStrike)</f>
        <v>68.4311</v>
      </c>
    </row>
    <row r="29" spans="1:9">
      <c r="A29" s="28">
        <f>-0.45+(ROW()-3)*0.015</f>
        <v>-0.06</v>
      </c>
      <c r="B29" s="26">
        <f>Front*(1+A29)</f>
        <v>70.5</v>
      </c>
      <c r="C29" s="26">
        <f>B29</f>
        <v>70.5</v>
      </c>
      <c r="D29" s="26">
        <f>SUMPRODUCT(Schedule!$B$3:$B$26,Schedule!$H$3:$H$26)/NMonths</f>
        <v>72.6958333333333</v>
      </c>
      <c r="E29" s="26">
        <f>B29-Phi*MAX(Phi*(B29-Protect),0)+Phi*PremBbl</f>
        <v>75.617499618506</v>
      </c>
      <c r="F29" s="26">
        <f>B29-Phi*(MAX(Phi*(B29-Protect),0)-MAX(Phi*(Giveup-B29),0))</f>
        <v>70.5</v>
      </c>
      <c r="G29" s="26">
        <f>B29-Phi*(MAX(Phi*(B29-Protect),0)-MAX(Phi*(B29-Cap3),0)-MAX(Phi*(Giveup3-B29),0))</f>
        <v>70.5</v>
      </c>
      <c r="H29" s="26">
        <f>B29-IF(Phi*(B29-PSStrike)&gt;0,1,1-Participation)*(B29-PSStrike)</f>
        <v>73.76465</v>
      </c>
      <c r="I29" s="26">
        <f>B29-IF(Phi*(B29-DUStrike)&gt;0,1,Leverage)*(B29-DUStrike)</f>
        <v>68.4311</v>
      </c>
    </row>
    <row r="30" spans="1:9">
      <c r="A30" s="28">
        <f>-0.45+(ROW()-3)*0.015</f>
        <v>-0.045</v>
      </c>
      <c r="B30" s="26">
        <f>Front*(1+A30)</f>
        <v>71.625</v>
      </c>
      <c r="C30" s="26">
        <f>B30</f>
        <v>71.625</v>
      </c>
      <c r="D30" s="26">
        <f>SUMPRODUCT(Schedule!$B$3:$B$26,Schedule!$H$3:$H$26)/NMonths</f>
        <v>72.6958333333333</v>
      </c>
      <c r="E30" s="26">
        <f>B30-Phi*MAX(Phi*(B30-Protect),0)+Phi*PremBbl</f>
        <v>76.742499618506</v>
      </c>
      <c r="F30" s="26">
        <f>B30-Phi*(MAX(Phi*(B30-Protect),0)-MAX(Phi*(Giveup-B30),0))</f>
        <v>71.625</v>
      </c>
      <c r="G30" s="26">
        <f>B30-Phi*(MAX(Phi*(B30-Protect),0)-MAX(Phi*(B30-Cap3),0)-MAX(Phi*(Giveup3-B30),0))</f>
        <v>71.625</v>
      </c>
      <c r="H30" s="26">
        <f>B30-IF(Phi*(B30-PSStrike)&gt;0,1,1-Participation)*(B30-PSStrike)</f>
        <v>74.32715</v>
      </c>
      <c r="I30" s="26">
        <f>B30-IF(Phi*(B30-DUStrike)&gt;0,1,Leverage)*(B30-DUStrike)</f>
        <v>68.4311</v>
      </c>
    </row>
    <row r="31" spans="1:9">
      <c r="A31" s="28">
        <f>-0.45+(ROW()-3)*0.015</f>
        <v>-0.03</v>
      </c>
      <c r="B31" s="26">
        <f>Front*(1+A31)</f>
        <v>72.75</v>
      </c>
      <c r="C31" s="26">
        <f>B31</f>
        <v>72.75</v>
      </c>
      <c r="D31" s="26">
        <f>SUMPRODUCT(Schedule!$B$3:$B$26,Schedule!$H$3:$H$26)/NMonths</f>
        <v>72.6958333333333</v>
      </c>
      <c r="E31" s="26">
        <f>B31-Phi*MAX(Phi*(B31-Protect),0)+Phi*PremBbl</f>
        <v>77.867499618506</v>
      </c>
      <c r="F31" s="26">
        <f>B31-Phi*(MAX(Phi*(B31-Protect),0)-MAX(Phi*(Giveup-B31),0))</f>
        <v>72.75</v>
      </c>
      <c r="G31" s="26">
        <f>B31-Phi*(MAX(Phi*(B31-Protect),0)-MAX(Phi*(B31-Cap3),0)-MAX(Phi*(Giveup3-B31),0))</f>
        <v>72.75</v>
      </c>
      <c r="H31" s="26">
        <f>B31-IF(Phi*(B31-PSStrike)&gt;0,1,1-Participation)*(B31-PSStrike)</f>
        <v>74.88965</v>
      </c>
      <c r="I31" s="26">
        <f>B31-IF(Phi*(B31-DUStrike)&gt;0,1,Leverage)*(B31-DUStrike)</f>
        <v>68.4311</v>
      </c>
    </row>
    <row r="32" spans="1:9">
      <c r="A32" s="28">
        <f>-0.45+(ROW()-3)*0.015</f>
        <v>-0.015</v>
      </c>
      <c r="B32" s="26">
        <f>Front*(1+A32)</f>
        <v>73.875</v>
      </c>
      <c r="C32" s="26">
        <f>B32</f>
        <v>73.875</v>
      </c>
      <c r="D32" s="26">
        <f>SUMPRODUCT(Schedule!$B$3:$B$26,Schedule!$H$3:$H$26)/NMonths</f>
        <v>72.6958333333333</v>
      </c>
      <c r="E32" s="26">
        <f>B32-Phi*MAX(Phi*(B32-Protect),0)+Phi*PremBbl</f>
        <v>78.992499618506</v>
      </c>
      <c r="F32" s="26">
        <f>B32-Phi*(MAX(Phi*(B32-Protect),0)-MAX(Phi*(Giveup-B32),0))</f>
        <v>73.875</v>
      </c>
      <c r="G32" s="26">
        <f>B32-Phi*(MAX(Phi*(B32-Protect),0)-MAX(Phi*(B32-Cap3),0)-MAX(Phi*(Giveup3-B32),0))</f>
        <v>73.875</v>
      </c>
      <c r="H32" s="26">
        <f>B32-IF(Phi*(B32-PSStrike)&gt;0,1,1-Participation)*(B32-PSStrike)</f>
        <v>75.45215</v>
      </c>
      <c r="I32" s="26">
        <f>B32-IF(Phi*(B32-DUStrike)&gt;0,1,Leverage)*(B32-DUStrike)</f>
        <v>68.4311</v>
      </c>
    </row>
    <row r="33" spans="1:9">
      <c r="A33" s="28">
        <f>-0.45+(ROW()-3)*0.015</f>
        <v>0</v>
      </c>
      <c r="B33" s="26">
        <f>Front*(1+A33)</f>
        <v>75</v>
      </c>
      <c r="C33" s="26">
        <f>B33</f>
        <v>75</v>
      </c>
      <c r="D33" s="26">
        <f>SUMPRODUCT(Schedule!$B$3:$B$26,Schedule!$H$3:$H$26)/NMonths</f>
        <v>72.6958333333333</v>
      </c>
      <c r="E33" s="26">
        <f>B33-Phi*MAX(Phi*(B33-Protect),0)+Phi*PremBbl</f>
        <v>80.117499618506</v>
      </c>
      <c r="F33" s="26">
        <f>B33-Phi*(MAX(Phi*(B33-Protect),0)-MAX(Phi*(Giveup-B33),0))</f>
        <v>75</v>
      </c>
      <c r="G33" s="26">
        <f>B33-Phi*(MAX(Phi*(B33-Protect),0)-MAX(Phi*(B33-Cap3),0)-MAX(Phi*(Giveup3-B33),0))</f>
        <v>75</v>
      </c>
      <c r="H33" s="26">
        <f>B33-IF(Phi*(B33-PSStrike)&gt;0,1,1-Participation)*(B33-PSStrike)</f>
        <v>76.01465</v>
      </c>
      <c r="I33" s="26">
        <f>B33-IF(Phi*(B33-DUStrike)&gt;0,1,Leverage)*(B33-DUStrike)</f>
        <v>68.4311</v>
      </c>
    </row>
    <row r="34" spans="1:9">
      <c r="A34" s="28">
        <f>-0.45+(ROW()-3)*0.015</f>
        <v>0.015</v>
      </c>
      <c r="B34" s="26">
        <f>Front*(1+A34)</f>
        <v>76.125</v>
      </c>
      <c r="C34" s="26">
        <f>B34</f>
        <v>76.125</v>
      </c>
      <c r="D34" s="26">
        <f>SUMPRODUCT(Schedule!$B$3:$B$26,Schedule!$H$3:$H$26)/NMonths</f>
        <v>72.6958333333333</v>
      </c>
      <c r="E34" s="26">
        <f>B34-Phi*MAX(Phi*(B34-Protect),0)+Phi*PremBbl</f>
        <v>80.117499618506</v>
      </c>
      <c r="F34" s="26">
        <f>B34-Phi*(MAX(Phi*(B34-Protect),0)-MAX(Phi*(Giveup-B34),0))</f>
        <v>75</v>
      </c>
      <c r="G34" s="26">
        <f>B34-Phi*(MAX(Phi*(B34-Protect),0)-MAX(Phi*(B34-Cap3),0)-MAX(Phi*(Giveup3-B34),0))</f>
        <v>75</v>
      </c>
      <c r="H34" s="26">
        <f>B34-IF(Phi*(B34-PSStrike)&gt;0,1,1-Participation)*(B34-PSStrike)</f>
        <v>76.57715</v>
      </c>
      <c r="I34" s="26">
        <f>B34-IF(Phi*(B34-DUStrike)&gt;0,1,Leverage)*(B34-DUStrike)</f>
        <v>68.4311</v>
      </c>
    </row>
    <row r="35" spans="1:9">
      <c r="A35" s="28">
        <f>-0.45+(ROW()-3)*0.015</f>
        <v>0.03</v>
      </c>
      <c r="B35" s="26">
        <f>Front*(1+A35)</f>
        <v>77.25</v>
      </c>
      <c r="C35" s="26">
        <f>B35</f>
        <v>77.25</v>
      </c>
      <c r="D35" s="26">
        <f>SUMPRODUCT(Schedule!$B$3:$B$26,Schedule!$H$3:$H$26)/NMonths</f>
        <v>72.6958333333333</v>
      </c>
      <c r="E35" s="26">
        <f>B35-Phi*MAX(Phi*(B35-Protect),0)+Phi*PremBbl</f>
        <v>80.117499618506</v>
      </c>
      <c r="F35" s="26">
        <f>B35-Phi*(MAX(Phi*(B35-Protect),0)-MAX(Phi*(Giveup-B35),0))</f>
        <v>75</v>
      </c>
      <c r="G35" s="26">
        <f>B35-Phi*(MAX(Phi*(B35-Protect),0)-MAX(Phi*(B35-Cap3),0)-MAX(Phi*(Giveup3-B35),0))</f>
        <v>75</v>
      </c>
      <c r="H35" s="26">
        <f>B35-IF(Phi*(B35-PSStrike)&gt;0,1,1-Participation)*(B35-PSStrike)</f>
        <v>77.0293</v>
      </c>
      <c r="I35" s="26">
        <f>B35-IF(Phi*(B35-DUStrike)&gt;0,1,Leverage)*(B35-DUStrike)</f>
        <v>68.4311</v>
      </c>
    </row>
    <row r="36" spans="1:9">
      <c r="A36" s="28">
        <f>-0.45+(ROW()-3)*0.015</f>
        <v>0.045</v>
      </c>
      <c r="B36" s="26">
        <f>Front*(1+A36)</f>
        <v>78.375</v>
      </c>
      <c r="C36" s="26">
        <f>B36</f>
        <v>78.375</v>
      </c>
      <c r="D36" s="26">
        <f>SUMPRODUCT(Schedule!$B$3:$B$26,Schedule!$H$3:$H$26)/NMonths</f>
        <v>72.6958333333333</v>
      </c>
      <c r="E36" s="26">
        <f>B36-Phi*MAX(Phi*(B36-Protect),0)+Phi*PremBbl</f>
        <v>80.117499618506</v>
      </c>
      <c r="F36" s="26">
        <f>B36-Phi*(MAX(Phi*(B36-Protect),0)-MAX(Phi*(Giveup-B36),0))</f>
        <v>75</v>
      </c>
      <c r="G36" s="26">
        <f>B36-Phi*(MAX(Phi*(B36-Protect),0)-MAX(Phi*(B36-Cap3),0)-MAX(Phi*(Giveup3-B36),0))</f>
        <v>75</v>
      </c>
      <c r="H36" s="26">
        <f>B36-IF(Phi*(B36-PSStrike)&gt;0,1,1-Participation)*(B36-PSStrike)</f>
        <v>77.0293</v>
      </c>
      <c r="I36" s="26">
        <f>B36-IF(Phi*(B36-DUStrike)&gt;0,1,Leverage)*(B36-DUStrike)</f>
        <v>68.4311</v>
      </c>
    </row>
    <row r="37" spans="1:9">
      <c r="A37" s="28">
        <f>-0.45+(ROW()-3)*0.015</f>
        <v>0.06</v>
      </c>
      <c r="B37" s="26">
        <f>Front*(1+A37)</f>
        <v>79.5</v>
      </c>
      <c r="C37" s="26">
        <f>B37</f>
        <v>79.5</v>
      </c>
      <c r="D37" s="26">
        <f>SUMPRODUCT(Schedule!$B$3:$B$26,Schedule!$H$3:$H$26)/NMonths</f>
        <v>72.6958333333333</v>
      </c>
      <c r="E37" s="26">
        <f>B37-Phi*MAX(Phi*(B37-Protect),0)+Phi*PremBbl</f>
        <v>80.117499618506</v>
      </c>
      <c r="F37" s="26">
        <f>B37-Phi*(MAX(Phi*(B37-Protect),0)-MAX(Phi*(Giveup-B37),0))</f>
        <v>75</v>
      </c>
      <c r="G37" s="26">
        <f>B37-Phi*(MAX(Phi*(B37-Protect),0)-MAX(Phi*(B37-Cap3),0)-MAX(Phi*(Giveup3-B37),0))</f>
        <v>75</v>
      </c>
      <c r="H37" s="26">
        <f>B37-IF(Phi*(B37-PSStrike)&gt;0,1,1-Participation)*(B37-PSStrike)</f>
        <v>77.0293</v>
      </c>
      <c r="I37" s="26">
        <f>B37-IF(Phi*(B37-DUStrike)&gt;0,1,Leverage)*(B37-DUStrike)</f>
        <v>68.4311</v>
      </c>
    </row>
    <row r="38" spans="1:9">
      <c r="A38" s="28">
        <f>-0.45+(ROW()-3)*0.015</f>
        <v>0.075</v>
      </c>
      <c r="B38" s="26">
        <f>Front*(1+A38)</f>
        <v>80.625</v>
      </c>
      <c r="C38" s="26">
        <f>B38</f>
        <v>80.625</v>
      </c>
      <c r="D38" s="26">
        <f>SUMPRODUCT(Schedule!$B$3:$B$26,Schedule!$H$3:$H$26)/NMonths</f>
        <v>72.6958333333333</v>
      </c>
      <c r="E38" s="26">
        <f>B38-Phi*MAX(Phi*(B38-Protect),0)+Phi*PremBbl</f>
        <v>80.117499618506</v>
      </c>
      <c r="F38" s="26">
        <f>B38-Phi*(MAX(Phi*(B38-Protect),0)-MAX(Phi*(Giveup-B38),0))</f>
        <v>75</v>
      </c>
      <c r="G38" s="26">
        <f>B38-Phi*(MAX(Phi*(B38-Protect),0)-MAX(Phi*(B38-Cap3),0)-MAX(Phi*(Giveup3-B38),0))</f>
        <v>75</v>
      </c>
      <c r="H38" s="26">
        <f>B38-IF(Phi*(B38-PSStrike)&gt;0,1,1-Participation)*(B38-PSStrike)</f>
        <v>77.0293</v>
      </c>
      <c r="I38" s="26">
        <f>B38-IF(Phi*(B38-DUStrike)&gt;0,1,Leverage)*(B38-DUStrike)</f>
        <v>68.4311</v>
      </c>
    </row>
    <row r="39" spans="1:9">
      <c r="A39" s="28">
        <f>-0.45+(ROW()-3)*0.015</f>
        <v>0.09</v>
      </c>
      <c r="B39" s="26">
        <f>Front*(1+A39)</f>
        <v>81.75</v>
      </c>
      <c r="C39" s="26">
        <f>B39</f>
        <v>81.75</v>
      </c>
      <c r="D39" s="26">
        <f>SUMPRODUCT(Schedule!$B$3:$B$26,Schedule!$H$3:$H$26)/NMonths</f>
        <v>72.6958333333333</v>
      </c>
      <c r="E39" s="26">
        <f>B39-Phi*MAX(Phi*(B39-Protect),0)+Phi*PremBbl</f>
        <v>80.117499618506</v>
      </c>
      <c r="F39" s="26">
        <f>B39-Phi*(MAX(Phi*(B39-Protect),0)-MAX(Phi*(Giveup-B39),0))</f>
        <v>75</v>
      </c>
      <c r="G39" s="26">
        <f>B39-Phi*(MAX(Phi*(B39-Protect),0)-MAX(Phi*(B39-Cap3),0)-MAX(Phi*(Giveup3-B39),0))</f>
        <v>75</v>
      </c>
      <c r="H39" s="26">
        <f>B39-IF(Phi*(B39-PSStrike)&gt;0,1,1-Participation)*(B39-PSStrike)</f>
        <v>77.0293</v>
      </c>
      <c r="I39" s="26">
        <f>B39-IF(Phi*(B39-DUStrike)&gt;0,1,Leverage)*(B39-DUStrike)</f>
        <v>68.4311</v>
      </c>
    </row>
    <row r="40" spans="1:9">
      <c r="A40" s="28">
        <f>-0.45+(ROW()-3)*0.015</f>
        <v>0.105</v>
      </c>
      <c r="B40" s="26">
        <f>Front*(1+A40)</f>
        <v>82.875</v>
      </c>
      <c r="C40" s="26">
        <f>B40</f>
        <v>82.875</v>
      </c>
      <c r="D40" s="26">
        <f>SUMPRODUCT(Schedule!$B$3:$B$26,Schedule!$H$3:$H$26)/NMonths</f>
        <v>72.6958333333333</v>
      </c>
      <c r="E40" s="26">
        <f>B40-Phi*MAX(Phi*(B40-Protect),0)+Phi*PremBbl</f>
        <v>80.117499618506</v>
      </c>
      <c r="F40" s="26">
        <f>B40-Phi*(MAX(Phi*(B40-Protect),0)-MAX(Phi*(Giveup-B40),0))</f>
        <v>75</v>
      </c>
      <c r="G40" s="26">
        <f>B40-Phi*(MAX(Phi*(B40-Protect),0)-MAX(Phi*(B40-Cap3),0)-MAX(Phi*(Giveup3-B40),0))</f>
        <v>75</v>
      </c>
      <c r="H40" s="26">
        <f>B40-IF(Phi*(B40-PSStrike)&gt;0,1,1-Participation)*(B40-PSStrike)</f>
        <v>77.0293</v>
      </c>
      <c r="I40" s="26">
        <f>B40-IF(Phi*(B40-DUStrike)&gt;0,1,Leverage)*(B40-DUStrike)</f>
        <v>68.4311</v>
      </c>
    </row>
    <row r="41" spans="1:9">
      <c r="A41" s="28">
        <f>-0.45+(ROW()-3)*0.015</f>
        <v>0.12</v>
      </c>
      <c r="B41" s="26">
        <f>Front*(1+A41)</f>
        <v>84</v>
      </c>
      <c r="C41" s="26">
        <f>B41</f>
        <v>84</v>
      </c>
      <c r="D41" s="26">
        <f>SUMPRODUCT(Schedule!$B$3:$B$26,Schedule!$H$3:$H$26)/NMonths</f>
        <v>72.6958333333333</v>
      </c>
      <c r="E41" s="26">
        <f>B41-Phi*MAX(Phi*(B41-Protect),0)+Phi*PremBbl</f>
        <v>80.117499618506</v>
      </c>
      <c r="F41" s="26">
        <f>B41-Phi*(MAX(Phi*(B41-Protect),0)-MAX(Phi*(Giveup-B41),0))</f>
        <v>75</v>
      </c>
      <c r="G41" s="26">
        <f>B41-Phi*(MAX(Phi*(B41-Protect),0)-MAX(Phi*(B41-Cap3),0)-MAX(Phi*(Giveup3-B41),0))</f>
        <v>75</v>
      </c>
      <c r="H41" s="26">
        <f>B41-IF(Phi*(B41-PSStrike)&gt;0,1,1-Participation)*(B41-PSStrike)</f>
        <v>77.0293</v>
      </c>
      <c r="I41" s="26">
        <f>B41-IF(Phi*(B41-DUStrike)&gt;0,1,Leverage)*(B41-DUStrike)</f>
        <v>68.4311</v>
      </c>
    </row>
    <row r="42" spans="1:9">
      <c r="A42" s="28">
        <f>-0.45+(ROW()-3)*0.015</f>
        <v>0.135</v>
      </c>
      <c r="B42" s="26">
        <f>Front*(1+A42)</f>
        <v>85.125</v>
      </c>
      <c r="C42" s="26">
        <f>B42</f>
        <v>85.125</v>
      </c>
      <c r="D42" s="26">
        <f>SUMPRODUCT(Schedule!$B$3:$B$26,Schedule!$H$3:$H$26)/NMonths</f>
        <v>72.6958333333333</v>
      </c>
      <c r="E42" s="26">
        <f>B42-Phi*MAX(Phi*(B42-Protect),0)+Phi*PremBbl</f>
        <v>80.117499618506</v>
      </c>
      <c r="F42" s="26">
        <f>B42-Phi*(MAX(Phi*(B42-Protect),0)-MAX(Phi*(Giveup-B42),0))</f>
        <v>75</v>
      </c>
      <c r="G42" s="26">
        <f>B42-Phi*(MAX(Phi*(B42-Protect),0)-MAX(Phi*(B42-Cap3),0)-MAX(Phi*(Giveup3-B42),0))</f>
        <v>75</v>
      </c>
      <c r="H42" s="26">
        <f>B42-IF(Phi*(B42-PSStrike)&gt;0,1,1-Participation)*(B42-PSStrike)</f>
        <v>77.0293</v>
      </c>
      <c r="I42" s="26">
        <f>B42-IF(Phi*(B42-DUStrike)&gt;0,1,Leverage)*(B42-DUStrike)</f>
        <v>68.4311</v>
      </c>
    </row>
    <row r="43" spans="1:9">
      <c r="A43" s="28">
        <f>-0.45+(ROW()-3)*0.015</f>
        <v>0.15</v>
      </c>
      <c r="B43" s="26">
        <f>Front*(1+A43)</f>
        <v>86.25</v>
      </c>
      <c r="C43" s="26">
        <f>B43</f>
        <v>86.25</v>
      </c>
      <c r="D43" s="26">
        <f>SUMPRODUCT(Schedule!$B$3:$B$26,Schedule!$H$3:$H$26)/NMonths</f>
        <v>72.6958333333333</v>
      </c>
      <c r="E43" s="26">
        <f>B43-Phi*MAX(Phi*(B43-Protect),0)+Phi*PremBbl</f>
        <v>80.117499618506</v>
      </c>
      <c r="F43" s="26">
        <f>B43-Phi*(MAX(Phi*(B43-Protect),0)-MAX(Phi*(Giveup-B43),0))</f>
        <v>75</v>
      </c>
      <c r="G43" s="26">
        <f>B43-Phi*(MAX(Phi*(B43-Protect),0)-MAX(Phi*(B43-Cap3),0)-MAX(Phi*(Giveup3-B43),0))</f>
        <v>75</v>
      </c>
      <c r="H43" s="26">
        <f>B43-IF(Phi*(B43-PSStrike)&gt;0,1,1-Participation)*(B43-PSStrike)</f>
        <v>77.0293</v>
      </c>
      <c r="I43" s="26">
        <f>B43-IF(Phi*(B43-DUStrike)&gt;0,1,Leverage)*(B43-DUStrike)</f>
        <v>68.4311</v>
      </c>
    </row>
    <row r="44" spans="1:9">
      <c r="A44" s="28">
        <f>-0.45+(ROW()-3)*0.015</f>
        <v>0.165</v>
      </c>
      <c r="B44" s="26">
        <f>Front*(1+A44)</f>
        <v>87.375</v>
      </c>
      <c r="C44" s="26">
        <f>B44</f>
        <v>87.375</v>
      </c>
      <c r="D44" s="26">
        <f>SUMPRODUCT(Schedule!$B$3:$B$26,Schedule!$H$3:$H$26)/NMonths</f>
        <v>72.6958333333333</v>
      </c>
      <c r="E44" s="26">
        <f>B44-Phi*MAX(Phi*(B44-Protect),0)+Phi*PremBbl</f>
        <v>80.117499618506</v>
      </c>
      <c r="F44" s="26">
        <f>B44-Phi*(MAX(Phi*(B44-Protect),0)-MAX(Phi*(Giveup-B44),0))</f>
        <v>75</v>
      </c>
      <c r="G44" s="26">
        <f>B44-Phi*(MAX(Phi*(B44-Protect),0)-MAX(Phi*(B44-Cap3),0)-MAX(Phi*(Giveup3-B44),0))</f>
        <v>75</v>
      </c>
      <c r="H44" s="26">
        <f>B44-IF(Phi*(B44-PSStrike)&gt;0,1,1-Participation)*(B44-PSStrike)</f>
        <v>77.0293</v>
      </c>
      <c r="I44" s="26">
        <f>B44-IF(Phi*(B44-DUStrike)&gt;0,1,Leverage)*(B44-DUStrike)</f>
        <v>68.4311</v>
      </c>
    </row>
    <row r="45" spans="1:9">
      <c r="A45" s="28">
        <f>-0.45+(ROW()-3)*0.015</f>
        <v>0.18</v>
      </c>
      <c r="B45" s="26">
        <f>Front*(1+A45)</f>
        <v>88.5</v>
      </c>
      <c r="C45" s="26">
        <f>B45</f>
        <v>88.5</v>
      </c>
      <c r="D45" s="26">
        <f>SUMPRODUCT(Schedule!$B$3:$B$26,Schedule!$H$3:$H$26)/NMonths</f>
        <v>72.6958333333333</v>
      </c>
      <c r="E45" s="26">
        <f>B45-Phi*MAX(Phi*(B45-Protect),0)+Phi*PremBbl</f>
        <v>80.117499618506</v>
      </c>
      <c r="F45" s="26">
        <f>B45-Phi*(MAX(Phi*(B45-Protect),0)-MAX(Phi*(Giveup-B45),0))</f>
        <v>75</v>
      </c>
      <c r="G45" s="26">
        <f>B45-Phi*(MAX(Phi*(B45-Protect),0)-MAX(Phi*(B45-Cap3),0)-MAX(Phi*(Giveup3-B45),0))</f>
        <v>75</v>
      </c>
      <c r="H45" s="26">
        <f>B45-IF(Phi*(B45-PSStrike)&gt;0,1,1-Participation)*(B45-PSStrike)</f>
        <v>77.0293</v>
      </c>
      <c r="I45" s="26">
        <f>B45-IF(Phi*(B45-DUStrike)&gt;0,1,Leverage)*(B45-DUStrike)</f>
        <v>68.4311</v>
      </c>
    </row>
    <row r="46" spans="1:9">
      <c r="A46" s="28">
        <f>-0.45+(ROW()-3)*0.015</f>
        <v>0.195</v>
      </c>
      <c r="B46" s="26">
        <f>Front*(1+A46)</f>
        <v>89.625</v>
      </c>
      <c r="C46" s="26">
        <f>B46</f>
        <v>89.625</v>
      </c>
      <c r="D46" s="26">
        <f>SUMPRODUCT(Schedule!$B$3:$B$26,Schedule!$H$3:$H$26)/NMonths</f>
        <v>72.6958333333333</v>
      </c>
      <c r="E46" s="26">
        <f>B46-Phi*MAX(Phi*(B46-Protect),0)+Phi*PremBbl</f>
        <v>80.117499618506</v>
      </c>
      <c r="F46" s="26">
        <f>B46-Phi*(MAX(Phi*(B46-Protect),0)-MAX(Phi*(Giveup-B46),0))</f>
        <v>75</v>
      </c>
      <c r="G46" s="26">
        <f>B46-Phi*(MAX(Phi*(B46-Protect),0)-MAX(Phi*(B46-Cap3),0)-MAX(Phi*(Giveup3-B46),0))</f>
        <v>75</v>
      </c>
      <c r="H46" s="26">
        <f>B46-IF(Phi*(B46-PSStrike)&gt;0,1,1-Participation)*(B46-PSStrike)</f>
        <v>77.0293</v>
      </c>
      <c r="I46" s="26">
        <f>B46-IF(Phi*(B46-DUStrike)&gt;0,1,Leverage)*(B46-DUStrike)</f>
        <v>68.4311</v>
      </c>
    </row>
    <row r="47" spans="1:9">
      <c r="A47" s="28">
        <f>-0.45+(ROW()-3)*0.015</f>
        <v>0.21</v>
      </c>
      <c r="B47" s="26">
        <f>Front*(1+A47)</f>
        <v>90.75</v>
      </c>
      <c r="C47" s="26">
        <f>B47</f>
        <v>90.75</v>
      </c>
      <c r="D47" s="26">
        <f>SUMPRODUCT(Schedule!$B$3:$B$26,Schedule!$H$3:$H$26)/NMonths</f>
        <v>72.6958333333333</v>
      </c>
      <c r="E47" s="26">
        <f>B47-Phi*MAX(Phi*(B47-Protect),0)+Phi*PremBbl</f>
        <v>80.117499618506</v>
      </c>
      <c r="F47" s="26">
        <f>B47-Phi*(MAX(Phi*(B47-Protect),0)-MAX(Phi*(Giveup-B47),0))</f>
        <v>75</v>
      </c>
      <c r="G47" s="26">
        <f>B47-Phi*(MAX(Phi*(B47-Protect),0)-MAX(Phi*(B47-Cap3),0)-MAX(Phi*(Giveup3-B47),0))</f>
        <v>75.75</v>
      </c>
      <c r="H47" s="26">
        <f>B47-IF(Phi*(B47-PSStrike)&gt;0,1,1-Participation)*(B47-PSStrike)</f>
        <v>77.0293</v>
      </c>
      <c r="I47" s="26">
        <f>B47-IF(Phi*(B47-DUStrike)&gt;0,1,Leverage)*(B47-DUStrike)</f>
        <v>68.4311</v>
      </c>
    </row>
    <row r="48" spans="1:9">
      <c r="A48" s="28">
        <f>-0.45+(ROW()-3)*0.015</f>
        <v>0.225</v>
      </c>
      <c r="B48" s="26">
        <f>Front*(1+A48)</f>
        <v>91.875</v>
      </c>
      <c r="C48" s="26">
        <f>B48</f>
        <v>91.875</v>
      </c>
      <c r="D48" s="26">
        <f>SUMPRODUCT(Schedule!$B$3:$B$26,Schedule!$H$3:$H$26)/NMonths</f>
        <v>72.6958333333333</v>
      </c>
      <c r="E48" s="26">
        <f>B48-Phi*MAX(Phi*(B48-Protect),0)+Phi*PremBbl</f>
        <v>80.117499618506</v>
      </c>
      <c r="F48" s="26">
        <f>B48-Phi*(MAX(Phi*(B48-Protect),0)-MAX(Phi*(Giveup-B48),0))</f>
        <v>75</v>
      </c>
      <c r="G48" s="26">
        <f>B48-Phi*(MAX(Phi*(B48-Protect),0)-MAX(Phi*(B48-Cap3),0)-MAX(Phi*(Giveup3-B48),0))</f>
        <v>76.875</v>
      </c>
      <c r="H48" s="26">
        <f>B48-IF(Phi*(B48-PSStrike)&gt;0,1,1-Participation)*(B48-PSStrike)</f>
        <v>77.0293</v>
      </c>
      <c r="I48" s="26">
        <f>B48-IF(Phi*(B48-DUStrike)&gt;0,1,Leverage)*(B48-DUStrike)</f>
        <v>68.4311</v>
      </c>
    </row>
    <row r="49" spans="1:9">
      <c r="A49" s="28">
        <f>-0.45+(ROW()-3)*0.015</f>
        <v>0.24</v>
      </c>
      <c r="B49" s="26">
        <f>Front*(1+A49)</f>
        <v>93</v>
      </c>
      <c r="C49" s="26">
        <f>B49</f>
        <v>93</v>
      </c>
      <c r="D49" s="26">
        <f>SUMPRODUCT(Schedule!$B$3:$B$26,Schedule!$H$3:$H$26)/NMonths</f>
        <v>72.6958333333333</v>
      </c>
      <c r="E49" s="26">
        <f>B49-Phi*MAX(Phi*(B49-Protect),0)+Phi*PremBbl</f>
        <v>80.117499618506</v>
      </c>
      <c r="F49" s="26">
        <f>B49-Phi*(MAX(Phi*(B49-Protect),0)-MAX(Phi*(Giveup-B49),0))</f>
        <v>75</v>
      </c>
      <c r="G49" s="26">
        <f>B49-Phi*(MAX(Phi*(B49-Protect),0)-MAX(Phi*(B49-Cap3),0)-MAX(Phi*(Giveup3-B49),0))</f>
        <v>78</v>
      </c>
      <c r="H49" s="26">
        <f>B49-IF(Phi*(B49-PSStrike)&gt;0,1,1-Participation)*(B49-PSStrike)</f>
        <v>77.0293</v>
      </c>
      <c r="I49" s="26">
        <f>B49-IF(Phi*(B49-DUStrike)&gt;0,1,Leverage)*(B49-DUStrike)</f>
        <v>68.4311</v>
      </c>
    </row>
    <row r="50" spans="1:9">
      <c r="A50" s="28">
        <f>-0.45+(ROW()-3)*0.015</f>
        <v>0.255</v>
      </c>
      <c r="B50" s="26">
        <f>Front*(1+A50)</f>
        <v>94.125</v>
      </c>
      <c r="C50" s="26">
        <f>B50</f>
        <v>94.125</v>
      </c>
      <c r="D50" s="26">
        <f>SUMPRODUCT(Schedule!$B$3:$B$26,Schedule!$H$3:$H$26)/NMonths</f>
        <v>72.6958333333333</v>
      </c>
      <c r="E50" s="26">
        <f>B50-Phi*MAX(Phi*(B50-Protect),0)+Phi*PremBbl</f>
        <v>80.117499618506</v>
      </c>
      <c r="F50" s="26">
        <f>B50-Phi*(MAX(Phi*(B50-Protect),0)-MAX(Phi*(Giveup-B50),0))</f>
        <v>75</v>
      </c>
      <c r="G50" s="26">
        <f>B50-Phi*(MAX(Phi*(B50-Protect),0)-MAX(Phi*(B50-Cap3),0)-MAX(Phi*(Giveup3-B50),0))</f>
        <v>79.125</v>
      </c>
      <c r="H50" s="26">
        <f>B50-IF(Phi*(B50-PSStrike)&gt;0,1,1-Participation)*(B50-PSStrike)</f>
        <v>77.0293</v>
      </c>
      <c r="I50" s="26">
        <f>B50-IF(Phi*(B50-DUStrike)&gt;0,1,Leverage)*(B50-DUStrike)</f>
        <v>68.4311</v>
      </c>
    </row>
    <row r="51" spans="1:9">
      <c r="A51" s="28">
        <f>-0.45+(ROW()-3)*0.015</f>
        <v>0.27</v>
      </c>
      <c r="B51" s="26">
        <f>Front*(1+A51)</f>
        <v>95.25</v>
      </c>
      <c r="C51" s="26">
        <f>B51</f>
        <v>95.25</v>
      </c>
      <c r="D51" s="26">
        <f>SUMPRODUCT(Schedule!$B$3:$B$26,Schedule!$H$3:$H$26)/NMonths</f>
        <v>72.6958333333333</v>
      </c>
      <c r="E51" s="26">
        <f>B51-Phi*MAX(Phi*(B51-Protect),0)+Phi*PremBbl</f>
        <v>80.117499618506</v>
      </c>
      <c r="F51" s="26">
        <f>B51-Phi*(MAX(Phi*(B51-Protect),0)-MAX(Phi*(Giveup-B51),0))</f>
        <v>75</v>
      </c>
      <c r="G51" s="26">
        <f>B51-Phi*(MAX(Phi*(B51-Protect),0)-MAX(Phi*(B51-Cap3),0)-MAX(Phi*(Giveup3-B51),0))</f>
        <v>80.25</v>
      </c>
      <c r="H51" s="26">
        <f>B51-IF(Phi*(B51-PSStrike)&gt;0,1,1-Participation)*(B51-PSStrike)</f>
        <v>77.0293</v>
      </c>
      <c r="I51" s="26">
        <f>B51-IF(Phi*(B51-DUStrike)&gt;0,1,Leverage)*(B51-DUStrike)</f>
        <v>68.4311</v>
      </c>
    </row>
    <row r="52" spans="1:9">
      <c r="A52" s="28">
        <f>-0.45+(ROW()-3)*0.015</f>
        <v>0.285</v>
      </c>
      <c r="B52" s="26">
        <f>Front*(1+A52)</f>
        <v>96.375</v>
      </c>
      <c r="C52" s="26">
        <f>B52</f>
        <v>96.375</v>
      </c>
      <c r="D52" s="26">
        <f>SUMPRODUCT(Schedule!$B$3:$B$26,Schedule!$H$3:$H$26)/NMonths</f>
        <v>72.6958333333333</v>
      </c>
      <c r="E52" s="26">
        <f>B52-Phi*MAX(Phi*(B52-Protect),0)+Phi*PremBbl</f>
        <v>80.117499618506</v>
      </c>
      <c r="F52" s="26">
        <f>B52-Phi*(MAX(Phi*(B52-Protect),0)-MAX(Phi*(Giveup-B52),0))</f>
        <v>75</v>
      </c>
      <c r="G52" s="26">
        <f>B52-Phi*(MAX(Phi*(B52-Protect),0)-MAX(Phi*(B52-Cap3),0)-MAX(Phi*(Giveup3-B52),0))</f>
        <v>81.375</v>
      </c>
      <c r="H52" s="26">
        <f>B52-IF(Phi*(B52-PSStrike)&gt;0,1,1-Participation)*(B52-PSStrike)</f>
        <v>77.0293</v>
      </c>
      <c r="I52" s="26">
        <f>B52-IF(Phi*(B52-DUStrike)&gt;0,1,Leverage)*(B52-DUStrike)</f>
        <v>68.4311</v>
      </c>
    </row>
    <row r="53" spans="1:9">
      <c r="A53" s="28">
        <f>-0.45+(ROW()-3)*0.015</f>
        <v>0.3</v>
      </c>
      <c r="B53" s="26">
        <f>Front*(1+A53)</f>
        <v>97.5</v>
      </c>
      <c r="C53" s="26">
        <f>B53</f>
        <v>97.5</v>
      </c>
      <c r="D53" s="26">
        <f>SUMPRODUCT(Schedule!$B$3:$B$26,Schedule!$H$3:$H$26)/NMonths</f>
        <v>72.6958333333333</v>
      </c>
      <c r="E53" s="26">
        <f>B53-Phi*MAX(Phi*(B53-Protect),0)+Phi*PremBbl</f>
        <v>80.117499618506</v>
      </c>
      <c r="F53" s="26">
        <f>B53-Phi*(MAX(Phi*(B53-Protect),0)-MAX(Phi*(Giveup-B53),0))</f>
        <v>75</v>
      </c>
      <c r="G53" s="26">
        <f>B53-Phi*(MAX(Phi*(B53-Protect),0)-MAX(Phi*(B53-Cap3),0)-MAX(Phi*(Giveup3-B53),0))</f>
        <v>82.5</v>
      </c>
      <c r="H53" s="26">
        <f>B53-IF(Phi*(B53-PSStrike)&gt;0,1,1-Participation)*(B53-PSStrike)</f>
        <v>77.0293</v>
      </c>
      <c r="I53" s="26">
        <f>B53-IF(Phi*(B53-DUStrike)&gt;0,1,Leverage)*(B53-DUStrike)</f>
        <v>68.4311</v>
      </c>
    </row>
    <row r="54" spans="1:9">
      <c r="A54" s="28">
        <f>-0.45+(ROW()-3)*0.015</f>
        <v>0.315</v>
      </c>
      <c r="B54" s="26">
        <f>Front*(1+A54)</f>
        <v>98.625</v>
      </c>
      <c r="C54" s="26">
        <f>B54</f>
        <v>98.625</v>
      </c>
      <c r="D54" s="26">
        <f>SUMPRODUCT(Schedule!$B$3:$B$26,Schedule!$H$3:$H$26)/NMonths</f>
        <v>72.6958333333333</v>
      </c>
      <c r="E54" s="26">
        <f>B54-Phi*MAX(Phi*(B54-Protect),0)+Phi*PremBbl</f>
        <v>80.117499618506</v>
      </c>
      <c r="F54" s="26">
        <f>B54-Phi*(MAX(Phi*(B54-Protect),0)-MAX(Phi*(Giveup-B54),0))</f>
        <v>75</v>
      </c>
      <c r="G54" s="26">
        <f>B54-Phi*(MAX(Phi*(B54-Protect),0)-MAX(Phi*(B54-Cap3),0)-MAX(Phi*(Giveup3-B54),0))</f>
        <v>83.625</v>
      </c>
      <c r="H54" s="26">
        <f>B54-IF(Phi*(B54-PSStrike)&gt;0,1,1-Participation)*(B54-PSStrike)</f>
        <v>77.0293</v>
      </c>
      <c r="I54" s="26">
        <f>B54-IF(Phi*(B54-DUStrike)&gt;0,1,Leverage)*(B54-DUStrike)</f>
        <v>68.4311</v>
      </c>
    </row>
    <row r="55" spans="1:9">
      <c r="A55" s="28">
        <f>-0.45+(ROW()-3)*0.015</f>
        <v>0.33</v>
      </c>
      <c r="B55" s="26">
        <f>Front*(1+A55)</f>
        <v>99.75</v>
      </c>
      <c r="C55" s="26">
        <f>B55</f>
        <v>99.75</v>
      </c>
      <c r="D55" s="26">
        <f>SUMPRODUCT(Schedule!$B$3:$B$26,Schedule!$H$3:$H$26)/NMonths</f>
        <v>72.6958333333333</v>
      </c>
      <c r="E55" s="26">
        <f>B55-Phi*MAX(Phi*(B55-Protect),0)+Phi*PremBbl</f>
        <v>80.117499618506</v>
      </c>
      <c r="F55" s="26">
        <f>B55-Phi*(MAX(Phi*(B55-Protect),0)-MAX(Phi*(Giveup-B55),0))</f>
        <v>75</v>
      </c>
      <c r="G55" s="26">
        <f>B55-Phi*(MAX(Phi*(B55-Protect),0)-MAX(Phi*(B55-Cap3),0)-MAX(Phi*(Giveup3-B55),0))</f>
        <v>84.75</v>
      </c>
      <c r="H55" s="26">
        <f>B55-IF(Phi*(B55-PSStrike)&gt;0,1,1-Participation)*(B55-PSStrike)</f>
        <v>77.0293</v>
      </c>
      <c r="I55" s="26">
        <f>B55-IF(Phi*(B55-DUStrike)&gt;0,1,Leverage)*(B55-DUStrike)</f>
        <v>68.4311</v>
      </c>
    </row>
    <row r="56" spans="1:9">
      <c r="A56" s="28">
        <f>-0.45+(ROW()-3)*0.015</f>
        <v>0.345</v>
      </c>
      <c r="B56" s="26">
        <f>Front*(1+A56)</f>
        <v>100.875</v>
      </c>
      <c r="C56" s="26">
        <f>B56</f>
        <v>100.875</v>
      </c>
      <c r="D56" s="26">
        <f>SUMPRODUCT(Schedule!$B$3:$B$26,Schedule!$H$3:$H$26)/NMonths</f>
        <v>72.6958333333333</v>
      </c>
      <c r="E56" s="26">
        <f>B56-Phi*MAX(Phi*(B56-Protect),0)+Phi*PremBbl</f>
        <v>80.117499618506</v>
      </c>
      <c r="F56" s="26">
        <f>B56-Phi*(MAX(Phi*(B56-Protect),0)-MAX(Phi*(Giveup-B56),0))</f>
        <v>75</v>
      </c>
      <c r="G56" s="26">
        <f>B56-Phi*(MAX(Phi*(B56-Protect),0)-MAX(Phi*(B56-Cap3),0)-MAX(Phi*(Giveup3-B56),0))</f>
        <v>85.875</v>
      </c>
      <c r="H56" s="26">
        <f>B56-IF(Phi*(B56-PSStrike)&gt;0,1,1-Participation)*(B56-PSStrike)</f>
        <v>77.0293</v>
      </c>
      <c r="I56" s="26">
        <f>B56-IF(Phi*(B56-DUStrike)&gt;0,1,Leverage)*(B56-DUStrike)</f>
        <v>68.4311</v>
      </c>
    </row>
    <row r="57" spans="1:9">
      <c r="A57" s="28">
        <f>-0.45+(ROW()-3)*0.015</f>
        <v>0.36</v>
      </c>
      <c r="B57" s="26">
        <f>Front*(1+A57)</f>
        <v>102</v>
      </c>
      <c r="C57" s="26">
        <f>B57</f>
        <v>102</v>
      </c>
      <c r="D57" s="26">
        <f>SUMPRODUCT(Schedule!$B$3:$B$26,Schedule!$H$3:$H$26)/NMonths</f>
        <v>72.6958333333333</v>
      </c>
      <c r="E57" s="26">
        <f>B57-Phi*MAX(Phi*(B57-Protect),0)+Phi*PremBbl</f>
        <v>80.117499618506</v>
      </c>
      <c r="F57" s="26">
        <f>B57-Phi*(MAX(Phi*(B57-Protect),0)-MAX(Phi*(Giveup-B57),0))</f>
        <v>75</v>
      </c>
      <c r="G57" s="26">
        <f>B57-Phi*(MAX(Phi*(B57-Protect),0)-MAX(Phi*(B57-Cap3),0)-MAX(Phi*(Giveup3-B57),0))</f>
        <v>87</v>
      </c>
      <c r="H57" s="26">
        <f>B57-IF(Phi*(B57-PSStrike)&gt;0,1,1-Participation)*(B57-PSStrike)</f>
        <v>77.0293</v>
      </c>
      <c r="I57" s="26">
        <f>B57-IF(Phi*(B57-DUStrike)&gt;0,1,Leverage)*(B57-DUStrike)</f>
        <v>68.4311</v>
      </c>
    </row>
    <row r="58" spans="1:9">
      <c r="A58" s="28">
        <f>-0.45+(ROW()-3)*0.015</f>
        <v>0.375</v>
      </c>
      <c r="B58" s="26">
        <f>Front*(1+A58)</f>
        <v>103.125</v>
      </c>
      <c r="C58" s="26">
        <f>B58</f>
        <v>103.125</v>
      </c>
      <c r="D58" s="26">
        <f>SUMPRODUCT(Schedule!$B$3:$B$26,Schedule!$H$3:$H$26)/NMonths</f>
        <v>72.6958333333333</v>
      </c>
      <c r="E58" s="26">
        <f>B58-Phi*MAX(Phi*(B58-Protect),0)+Phi*PremBbl</f>
        <v>80.117499618506</v>
      </c>
      <c r="F58" s="26">
        <f>B58-Phi*(MAX(Phi*(B58-Protect),0)-MAX(Phi*(Giveup-B58),0))</f>
        <v>75</v>
      </c>
      <c r="G58" s="26">
        <f>B58-Phi*(MAX(Phi*(B58-Protect),0)-MAX(Phi*(B58-Cap3),0)-MAX(Phi*(Giveup3-B58),0))</f>
        <v>88.125</v>
      </c>
      <c r="H58" s="26">
        <f>B58-IF(Phi*(B58-PSStrike)&gt;0,1,1-Participation)*(B58-PSStrike)</f>
        <v>77.0293</v>
      </c>
      <c r="I58" s="26">
        <f>B58-IF(Phi*(B58-DUStrike)&gt;0,1,Leverage)*(B58-DUStrike)</f>
        <v>68.4311</v>
      </c>
    </row>
    <row r="59" spans="1:9">
      <c r="A59" s="28">
        <f>-0.45+(ROW()-3)*0.015</f>
        <v>0.39</v>
      </c>
      <c r="B59" s="26">
        <f>Front*(1+A59)</f>
        <v>104.25</v>
      </c>
      <c r="C59" s="26">
        <f>B59</f>
        <v>104.25</v>
      </c>
      <c r="D59" s="26">
        <f>SUMPRODUCT(Schedule!$B$3:$B$26,Schedule!$H$3:$H$26)/NMonths</f>
        <v>72.6958333333333</v>
      </c>
      <c r="E59" s="26">
        <f>B59-Phi*MAX(Phi*(B59-Protect),0)+Phi*PremBbl</f>
        <v>80.117499618506</v>
      </c>
      <c r="F59" s="26">
        <f>B59-Phi*(MAX(Phi*(B59-Protect),0)-MAX(Phi*(Giveup-B59),0))</f>
        <v>75</v>
      </c>
      <c r="G59" s="26">
        <f>B59-Phi*(MAX(Phi*(B59-Protect),0)-MAX(Phi*(B59-Cap3),0)-MAX(Phi*(Giveup3-B59),0))</f>
        <v>89.25</v>
      </c>
      <c r="H59" s="26">
        <f>B59-IF(Phi*(B59-PSStrike)&gt;0,1,1-Participation)*(B59-PSStrike)</f>
        <v>77.0293</v>
      </c>
      <c r="I59" s="26">
        <f>B59-IF(Phi*(B59-DUStrike)&gt;0,1,Leverage)*(B59-DUStrike)</f>
        <v>68.4311</v>
      </c>
    </row>
    <row r="60" spans="1:9">
      <c r="A60" s="28">
        <f>-0.45+(ROW()-3)*0.015</f>
        <v>0.405</v>
      </c>
      <c r="B60" s="26">
        <f>Front*(1+A60)</f>
        <v>105.375</v>
      </c>
      <c r="C60" s="26">
        <f>B60</f>
        <v>105.375</v>
      </c>
      <c r="D60" s="26">
        <f>SUMPRODUCT(Schedule!$B$3:$B$26,Schedule!$H$3:$H$26)/NMonths</f>
        <v>72.6958333333333</v>
      </c>
      <c r="E60" s="26">
        <f>B60-Phi*MAX(Phi*(B60-Protect),0)+Phi*PremBbl</f>
        <v>80.117499618506</v>
      </c>
      <c r="F60" s="26">
        <f>B60-Phi*(MAX(Phi*(B60-Protect),0)-MAX(Phi*(Giveup-B60),0))</f>
        <v>75</v>
      </c>
      <c r="G60" s="26">
        <f>B60-Phi*(MAX(Phi*(B60-Protect),0)-MAX(Phi*(B60-Cap3),0)-MAX(Phi*(Giveup3-B60),0))</f>
        <v>90.375</v>
      </c>
      <c r="H60" s="26">
        <f>B60-IF(Phi*(B60-PSStrike)&gt;0,1,1-Participation)*(B60-PSStrike)</f>
        <v>77.0293</v>
      </c>
      <c r="I60" s="26">
        <f>B60-IF(Phi*(B60-DUStrike)&gt;0,1,Leverage)*(B60-DUStrike)</f>
        <v>68.4311</v>
      </c>
    </row>
    <row r="61" spans="1:9">
      <c r="A61" s="28">
        <f>-0.45+(ROW()-3)*0.015</f>
        <v>0.42</v>
      </c>
      <c r="B61" s="26">
        <f>Front*(1+A61)</f>
        <v>106.5</v>
      </c>
      <c r="C61" s="26">
        <f>B61</f>
        <v>106.5</v>
      </c>
      <c r="D61" s="26">
        <f>SUMPRODUCT(Schedule!$B$3:$B$26,Schedule!$H$3:$H$26)/NMonths</f>
        <v>72.6958333333333</v>
      </c>
      <c r="E61" s="26">
        <f>B61-Phi*MAX(Phi*(B61-Protect),0)+Phi*PremBbl</f>
        <v>80.117499618506</v>
      </c>
      <c r="F61" s="26">
        <f>B61-Phi*(MAX(Phi*(B61-Protect),0)-MAX(Phi*(Giveup-B61),0))</f>
        <v>75</v>
      </c>
      <c r="G61" s="26">
        <f>B61-Phi*(MAX(Phi*(B61-Protect),0)-MAX(Phi*(B61-Cap3),0)-MAX(Phi*(Giveup3-B61),0))</f>
        <v>91.5</v>
      </c>
      <c r="H61" s="26">
        <f>B61-IF(Phi*(B61-PSStrike)&gt;0,1,1-Participation)*(B61-PSStrike)</f>
        <v>77.0293</v>
      </c>
      <c r="I61" s="26">
        <f>B61-IF(Phi*(B61-DUStrike)&gt;0,1,Leverage)*(B61-DUStrike)</f>
        <v>68.4311</v>
      </c>
    </row>
    <row r="62" spans="1:9">
      <c r="A62" s="28">
        <f>-0.45+(ROW()-3)*0.015</f>
        <v>0.435</v>
      </c>
      <c r="B62" s="26">
        <f>Front*(1+A62)</f>
        <v>107.625</v>
      </c>
      <c r="C62" s="26">
        <f>B62</f>
        <v>107.625</v>
      </c>
      <c r="D62" s="26">
        <f>SUMPRODUCT(Schedule!$B$3:$B$26,Schedule!$H$3:$H$26)/NMonths</f>
        <v>72.6958333333333</v>
      </c>
      <c r="E62" s="26">
        <f>B62-Phi*MAX(Phi*(B62-Protect),0)+Phi*PremBbl</f>
        <v>80.117499618506</v>
      </c>
      <c r="F62" s="26">
        <f>B62-Phi*(MAX(Phi*(B62-Protect),0)-MAX(Phi*(Giveup-B62),0))</f>
        <v>75</v>
      </c>
      <c r="G62" s="26">
        <f>B62-Phi*(MAX(Phi*(B62-Protect),0)-MAX(Phi*(B62-Cap3),0)-MAX(Phi*(Giveup3-B62),0))</f>
        <v>92.625</v>
      </c>
      <c r="H62" s="26">
        <f>B62-IF(Phi*(B62-PSStrike)&gt;0,1,1-Participation)*(B62-PSStrike)</f>
        <v>77.0293</v>
      </c>
      <c r="I62" s="26">
        <f>B62-IF(Phi*(B62-DUStrike)&gt;0,1,Leverage)*(B62-DUStrike)</f>
        <v>68.4311</v>
      </c>
    </row>
    <row r="63" spans="1:9">
      <c r="A63" s="28">
        <f>-0.45+(ROW()-3)*0.015</f>
        <v>0.45</v>
      </c>
      <c r="B63" s="26">
        <f>Front*(1+A63)</f>
        <v>108.75</v>
      </c>
      <c r="C63" s="26">
        <f>B63</f>
        <v>108.75</v>
      </c>
      <c r="D63" s="26">
        <f>SUMPRODUCT(Schedule!$B$3:$B$26,Schedule!$H$3:$H$26)/NMonths</f>
        <v>72.6958333333333</v>
      </c>
      <c r="E63" s="26">
        <f>B63-Phi*MAX(Phi*(B63-Protect),0)+Phi*PremBbl</f>
        <v>80.117499618506</v>
      </c>
      <c r="F63" s="26">
        <f>B63-Phi*(MAX(Phi*(B63-Protect),0)-MAX(Phi*(Giveup-B63),0))</f>
        <v>75</v>
      </c>
      <c r="G63" s="26">
        <f>B63-Phi*(MAX(Phi*(B63-Protect),0)-MAX(Phi*(B63-Cap3),0)-MAX(Phi*(Giveup3-B63),0))</f>
        <v>93.75</v>
      </c>
      <c r="H63" s="26">
        <f>B63-IF(Phi*(B63-PSStrike)&gt;0,1,1-Participation)*(B63-PSStrike)</f>
        <v>77.0293</v>
      </c>
      <c r="I63" s="26">
        <f>B63-IF(Phi*(B63-DUStrike)&gt;0,1,Leverage)*(B63-DUStrike)</f>
        <v>68.4311</v>
      </c>
    </row>
  </sheetData>
  <pageMargins left="0.4" right="0.4" top="0.5" bottom="0.5" header="0.3" footer="0.3"/>
  <pageSetup paperSize="9" fitToHeight="0" orientation="landscape"/>
</worksheet>
</file>

<file path=xl/worksheets/sheet5.xml><?xml version="1.0" encoding="utf-8"?>
<worksheet xmlns="http://schemas.openxmlformats.org/spreadsheetml/2006/main" xmlns:r="http://schemas.openxmlformats.org/officeDocument/2006/relationships">
  <sheetPr codeName="Sheet5">
    <pageSetUpPr fitToPage="1"/>
  </sheetPr>
  <dimension ref="A1:H101"/>
  <sheetViews>
    <sheetView showGridLines="0" workbookViewId="0"/>
  </sheetViews>
  <sheetFormatPr defaultRowHeight="15"/>
  <cols>
    <col min="1" max="1" width="16.7109375" customWidth="1"/>
    <col min="2" max="8" width="17.7109375" customWidth="1"/>
  </cols>
  <sheetData>
    <row r="1" spans="1:8">
      <c r="A1" s="21" t="s">
        <v>79</v>
      </c>
    </row>
    <row r="2" spans="1:8">
      <c r="A2" s="9" t="s">
        <v>80</v>
      </c>
      <c r="B2" s="9" t="s">
        <v>36</v>
      </c>
      <c r="C2" s="9" t="s">
        <v>37</v>
      </c>
      <c r="D2" s="9" t="s">
        <v>38</v>
      </c>
      <c r="E2" s="9" t="s">
        <v>39</v>
      </c>
      <c r="F2" s="9" t="s">
        <v>40</v>
      </c>
      <c r="G2" s="9" t="s">
        <v>41</v>
      </c>
      <c r="H2" s="9" t="s">
        <v>42</v>
      </c>
    </row>
    <row r="3" spans="1:8">
      <c r="A3" s="28">
        <v>0.01</v>
      </c>
      <c r="B3" s="26">
        <v>46.5718604595841</v>
      </c>
      <c r="C3" s="26">
        <v>72.6958333333333</v>
      </c>
      <c r="D3" s="26">
        <v>51.6828747264339</v>
      </c>
      <c r="E3" s="26">
        <v>70.48</v>
      </c>
      <c r="F3" s="26">
        <v>66.5878</v>
      </c>
      <c r="G3" s="26">
        <v>61.7997973170437</v>
      </c>
      <c r="H3" s="26">
        <v>68.4311</v>
      </c>
    </row>
    <row r="4" spans="1:8">
      <c r="A4" s="28">
        <v>0.02</v>
      </c>
      <c r="B4" s="26">
        <v>48.9190581626315</v>
      </c>
      <c r="C4" s="26">
        <v>72.6958333333333</v>
      </c>
      <c r="D4" s="26">
        <v>53.9845985389117</v>
      </c>
      <c r="E4" s="26">
        <v>70.48</v>
      </c>
      <c r="F4" s="26">
        <v>66.5878</v>
      </c>
      <c r="G4" s="26">
        <v>62.9510743741145</v>
      </c>
      <c r="H4" s="26">
        <v>68.4311</v>
      </c>
    </row>
    <row r="5" spans="1:8">
      <c r="A5" s="28">
        <v>0.03</v>
      </c>
      <c r="B5" s="26">
        <v>50.6239864326052</v>
      </c>
      <c r="C5" s="26">
        <v>72.6958333333333</v>
      </c>
      <c r="D5" s="26">
        <v>55.6755632997302</v>
      </c>
      <c r="E5" s="26">
        <v>70.48</v>
      </c>
      <c r="F5" s="26">
        <v>66.5878</v>
      </c>
      <c r="G5" s="26">
        <v>63.8121398646394</v>
      </c>
      <c r="H5" s="26">
        <v>68.4311</v>
      </c>
    </row>
    <row r="6" spans="1:8">
      <c r="A6" s="28">
        <v>0.04</v>
      </c>
      <c r="B6" s="26">
        <v>51.9054075453169</v>
      </c>
      <c r="C6" s="26">
        <v>72.6958333333333</v>
      </c>
      <c r="D6" s="26">
        <v>56.9992208252689</v>
      </c>
      <c r="E6" s="26">
        <v>70.48</v>
      </c>
      <c r="F6" s="26">
        <v>66.5878</v>
      </c>
      <c r="G6" s="26">
        <v>64.4624208315887</v>
      </c>
      <c r="H6" s="26">
        <v>68.4311</v>
      </c>
    </row>
    <row r="7" spans="1:8">
      <c r="A7" s="28">
        <v>0.05</v>
      </c>
      <c r="B7" s="26">
        <v>52.7956273109663</v>
      </c>
      <c r="C7" s="26">
        <v>72.6958333333333</v>
      </c>
      <c r="D7" s="26">
        <v>57.8593275645506</v>
      </c>
      <c r="E7" s="26">
        <v>70.48</v>
      </c>
      <c r="F7" s="26">
        <v>66.60573896472179</v>
      </c>
      <c r="G7" s="26">
        <v>64.8927209128817</v>
      </c>
      <c r="H7" s="26">
        <v>68.4311</v>
      </c>
    </row>
    <row r="8" spans="1:8">
      <c r="A8" s="28">
        <v>0.06</v>
      </c>
      <c r="B8" s="26">
        <v>53.6298780040069</v>
      </c>
      <c r="C8" s="26">
        <v>72.6958333333333</v>
      </c>
      <c r="D8" s="26">
        <v>58.6730920447627</v>
      </c>
      <c r="E8" s="26">
        <v>70.48</v>
      </c>
      <c r="F8" s="26">
        <v>66.668577453655</v>
      </c>
      <c r="G8" s="26">
        <v>65.317019707744</v>
      </c>
      <c r="H8" s="26">
        <v>68.4311</v>
      </c>
    </row>
    <row r="9" spans="1:8">
      <c r="A9" s="28">
        <v>0.07000000000000001</v>
      </c>
      <c r="B9" s="26">
        <v>54.4399406997311</v>
      </c>
      <c r="C9" s="26">
        <v>72.6958333333333</v>
      </c>
      <c r="D9" s="26">
        <v>59.4987807349505</v>
      </c>
      <c r="E9" s="26">
        <v>70.48</v>
      </c>
      <c r="F9" s="26">
        <v>66.7239452365645</v>
      </c>
      <c r="G9" s="26">
        <v>65.720149387822</v>
      </c>
      <c r="H9" s="26">
        <v>68.4311</v>
      </c>
    </row>
    <row r="10" spans="1:8">
      <c r="A10" s="28">
        <v>0.08</v>
      </c>
      <c r="B10" s="26">
        <v>55.1893073380845</v>
      </c>
      <c r="C10" s="26">
        <v>72.6958333333333</v>
      </c>
      <c r="D10" s="26">
        <v>60.2495847412926</v>
      </c>
      <c r="E10" s="26">
        <v>70.48</v>
      </c>
      <c r="F10" s="26">
        <v>66.78659457496791</v>
      </c>
      <c r="G10" s="26">
        <v>66.09923630804769</v>
      </c>
      <c r="H10" s="26">
        <v>68.4311</v>
      </c>
    </row>
    <row r="11" spans="1:8">
      <c r="A11" s="28">
        <v>0.09</v>
      </c>
      <c r="B11" s="26">
        <v>55.8294543648261</v>
      </c>
      <c r="C11" s="26">
        <v>72.6958333333333</v>
      </c>
      <c r="D11" s="26">
        <v>60.9015520182323</v>
      </c>
      <c r="E11" s="26">
        <v>70.48</v>
      </c>
      <c r="F11" s="26">
        <v>66.84745549722891</v>
      </c>
      <c r="G11" s="26">
        <v>66.4153930232907</v>
      </c>
      <c r="H11" s="26">
        <v>68.4311</v>
      </c>
    </row>
    <row r="12" spans="1:8">
      <c r="A12" s="28">
        <v>0.1</v>
      </c>
      <c r="B12" s="26">
        <v>56.4447391371709</v>
      </c>
      <c r="C12" s="26">
        <v>72.6958333333333</v>
      </c>
      <c r="D12" s="26">
        <v>61.4618828789011</v>
      </c>
      <c r="E12" s="26">
        <v>70.48</v>
      </c>
      <c r="F12" s="26">
        <v>66.9101890001802</v>
      </c>
      <c r="G12" s="26">
        <v>66.71280765904631</v>
      </c>
      <c r="H12" s="26">
        <v>68.4311</v>
      </c>
    </row>
    <row r="13" spans="1:8">
      <c r="A13" s="28">
        <v>0.11</v>
      </c>
      <c r="B13" s="26">
        <v>57.0224515824993</v>
      </c>
      <c r="C13" s="26">
        <v>72.6958333333333</v>
      </c>
      <c r="D13" s="26">
        <v>62.0311014526601</v>
      </c>
      <c r="E13" s="26">
        <v>70.48</v>
      </c>
      <c r="F13" s="26">
        <v>66.9731134919446</v>
      </c>
      <c r="G13" s="26">
        <v>66.996065570241</v>
      </c>
      <c r="H13" s="26">
        <v>68.4311</v>
      </c>
    </row>
    <row r="14" spans="1:8">
      <c r="A14" s="28">
        <v>0.12</v>
      </c>
      <c r="B14" s="26">
        <v>57.5154172817516</v>
      </c>
      <c r="C14" s="26">
        <v>72.6958333333333</v>
      </c>
      <c r="D14" s="26">
        <v>62.5546758095247</v>
      </c>
      <c r="E14" s="26">
        <v>70.4881096695167</v>
      </c>
      <c r="F14" s="26">
        <v>67.0423235738985</v>
      </c>
      <c r="G14" s="26">
        <v>67.2518012442748</v>
      </c>
      <c r="H14" s="26">
        <v>68.4311</v>
      </c>
    </row>
    <row r="15" spans="1:8">
      <c r="A15" s="28">
        <v>0.13</v>
      </c>
      <c r="B15" s="26">
        <v>58.0817055366699</v>
      </c>
      <c r="C15" s="26">
        <v>72.6958333333333</v>
      </c>
      <c r="D15" s="26">
        <v>63.0939955250455</v>
      </c>
      <c r="E15" s="26">
        <v>70.5215586307577</v>
      </c>
      <c r="F15" s="26">
        <v>67.11365008586171</v>
      </c>
      <c r="G15" s="26">
        <v>67.5186469697984</v>
      </c>
      <c r="H15" s="26">
        <v>68.4311</v>
      </c>
    </row>
    <row r="16" spans="1:8">
      <c r="A16" s="28">
        <v>0.14</v>
      </c>
      <c r="B16" s="26">
        <v>58.5394906068973</v>
      </c>
      <c r="C16" s="26">
        <v>72.6958333333333</v>
      </c>
      <c r="D16" s="26">
        <v>63.5778700890706</v>
      </c>
      <c r="E16" s="26">
        <v>70.5631733717284</v>
      </c>
      <c r="F16" s="26">
        <v>67.1902944691614</v>
      </c>
      <c r="G16" s="26">
        <v>67.7586064585667</v>
      </c>
      <c r="H16" s="26">
        <v>68.4311</v>
      </c>
    </row>
    <row r="17" spans="1:8">
      <c r="A17" s="28">
        <v>0.15</v>
      </c>
      <c r="B17" s="26">
        <v>59.0535167402989</v>
      </c>
      <c r="C17" s="26">
        <v>72.6958333333333</v>
      </c>
      <c r="D17" s="26">
        <v>64.0611714603918</v>
      </c>
      <c r="E17" s="26">
        <v>70.5996388516848</v>
      </c>
      <c r="F17" s="26">
        <v>67.263482519996</v>
      </c>
      <c r="G17" s="26">
        <v>68.01057285405371</v>
      </c>
      <c r="H17" s="26">
        <v>68.4311</v>
      </c>
    </row>
    <row r="18" spans="1:8">
      <c r="A18" s="28">
        <v>0.16</v>
      </c>
      <c r="B18" s="26">
        <v>59.5522172043479</v>
      </c>
      <c r="C18" s="26">
        <v>72.6958333333333</v>
      </c>
      <c r="D18" s="26">
        <v>64.5087016428058</v>
      </c>
      <c r="E18" s="26">
        <v>70.6372127858039</v>
      </c>
      <c r="F18" s="26">
        <v>67.2888166666667</v>
      </c>
      <c r="G18" s="26">
        <v>68.24124116178059</v>
      </c>
      <c r="H18" s="26">
        <v>68.4311</v>
      </c>
    </row>
    <row r="19" spans="1:8">
      <c r="A19" s="28">
        <v>0.17</v>
      </c>
      <c r="B19" s="26">
        <v>59.9763472756858</v>
      </c>
      <c r="C19" s="26">
        <v>72.6958333333333</v>
      </c>
      <c r="D19" s="26">
        <v>64.9461892485612</v>
      </c>
      <c r="E19" s="26">
        <v>70.675441933808</v>
      </c>
      <c r="F19" s="26">
        <v>67.35061451221949</v>
      </c>
      <c r="G19" s="26">
        <v>68.4599992656093</v>
      </c>
      <c r="H19" s="26">
        <v>68.4311</v>
      </c>
    </row>
    <row r="20" spans="1:8">
      <c r="A20" s="28">
        <v>0.18</v>
      </c>
      <c r="B20" s="26">
        <v>60.3773053160125</v>
      </c>
      <c r="C20" s="26">
        <v>72.6958333333333</v>
      </c>
      <c r="D20" s="26">
        <v>65.32334854630329</v>
      </c>
      <c r="E20" s="26">
        <v>70.71562075183699</v>
      </c>
      <c r="F20" s="26">
        <v>67.4209956637583</v>
      </c>
      <c r="G20" s="26">
        <v>68.65984166687809</v>
      </c>
      <c r="H20" s="26">
        <v>68.4311</v>
      </c>
    </row>
    <row r="21" spans="1:8">
      <c r="A21" s="28">
        <v>0.19</v>
      </c>
      <c r="B21" s="26">
        <v>60.7883060218117</v>
      </c>
      <c r="C21" s="26">
        <v>72.6958333333333</v>
      </c>
      <c r="D21" s="26">
        <v>65.7051360374539</v>
      </c>
      <c r="E21" s="26">
        <v>70.76137702024251</v>
      </c>
      <c r="F21" s="26">
        <v>67.48642161592301</v>
      </c>
      <c r="G21" s="26">
        <v>68.8517158394901</v>
      </c>
      <c r="H21" s="26">
        <v>68.4311</v>
      </c>
    </row>
    <row r="22" spans="1:8">
      <c r="A22" s="28">
        <v>0.2</v>
      </c>
      <c r="B22" s="26">
        <v>61.1891850598067</v>
      </c>
      <c r="C22" s="26">
        <v>72.6958333333333</v>
      </c>
      <c r="D22" s="26">
        <v>66.10883500385469</v>
      </c>
      <c r="E22" s="26">
        <v>70.80502095775741</v>
      </c>
      <c r="F22" s="26">
        <v>67.5764620323296</v>
      </c>
      <c r="G22" s="26">
        <v>69.0586009709468</v>
      </c>
      <c r="H22" s="26">
        <v>68.4311</v>
      </c>
    </row>
    <row r="23" spans="1:8">
      <c r="A23" s="28">
        <v>0.21</v>
      </c>
      <c r="B23" s="26">
        <v>61.6078124165091</v>
      </c>
      <c r="C23" s="26">
        <v>72.6958333333333</v>
      </c>
      <c r="D23" s="26">
        <v>66.498607220884</v>
      </c>
      <c r="E23" s="26">
        <v>70.85184941122441</v>
      </c>
      <c r="F23" s="26">
        <v>67.652426663599</v>
      </c>
      <c r="G23" s="26">
        <v>69.25132076055991</v>
      </c>
      <c r="H23" s="26">
        <v>68.4311</v>
      </c>
    </row>
    <row r="24" spans="1:8">
      <c r="A24" s="28">
        <v>0.22</v>
      </c>
      <c r="B24" s="26">
        <v>61.9742909346344</v>
      </c>
      <c r="C24" s="26">
        <v>72.6958333333333</v>
      </c>
      <c r="D24" s="26">
        <v>66.8547901178373</v>
      </c>
      <c r="E24" s="26">
        <v>70.8566666666667</v>
      </c>
      <c r="F24" s="26">
        <v>67.7369171723974</v>
      </c>
      <c r="G24" s="26">
        <v>69.4323928540073</v>
      </c>
      <c r="H24" s="26">
        <v>68.4311</v>
      </c>
    </row>
    <row r="25" spans="1:8">
      <c r="A25" s="28">
        <v>0.23</v>
      </c>
      <c r="B25" s="26">
        <v>62.3470740533589</v>
      </c>
      <c r="C25" s="26">
        <v>72.6958333333333</v>
      </c>
      <c r="D25" s="26">
        <v>67.2193727472512</v>
      </c>
      <c r="E25" s="26">
        <v>70.8566666666667</v>
      </c>
      <c r="F25" s="26">
        <v>67.8203304299364</v>
      </c>
      <c r="G25" s="26">
        <v>69.62086886125719</v>
      </c>
      <c r="H25" s="26">
        <v>68.4311</v>
      </c>
    </row>
    <row r="26" spans="1:8">
      <c r="A26" s="28">
        <v>0.24</v>
      </c>
      <c r="B26" s="26">
        <v>62.6952161403798</v>
      </c>
      <c r="C26" s="26">
        <v>72.6958333333333</v>
      </c>
      <c r="D26" s="26">
        <v>67.5670104388126</v>
      </c>
      <c r="E26" s="26">
        <v>70.86296195602119</v>
      </c>
      <c r="F26" s="26">
        <v>67.9009917918208</v>
      </c>
      <c r="G26" s="26">
        <v>69.78901634960179</v>
      </c>
      <c r="H26" s="26">
        <v>68.4311</v>
      </c>
    </row>
    <row r="27" spans="1:8">
      <c r="A27" s="28">
        <v>0.25</v>
      </c>
      <c r="B27" s="26">
        <v>63.0691770617425</v>
      </c>
      <c r="C27" s="26">
        <v>72.6958333333333</v>
      </c>
      <c r="D27" s="26">
        <v>67.9023229183875</v>
      </c>
      <c r="E27" s="26">
        <v>70.91141703275881</v>
      </c>
      <c r="F27" s="26">
        <v>67.98851712617881</v>
      </c>
      <c r="G27" s="26">
        <v>69.9639837437023</v>
      </c>
      <c r="H27" s="26">
        <v>68.4311</v>
      </c>
    </row>
    <row r="28" spans="1:8">
      <c r="A28" s="28">
        <v>0.26</v>
      </c>
      <c r="B28" s="26">
        <v>63.4090161751628</v>
      </c>
      <c r="C28" s="26">
        <v>72.6958333333333</v>
      </c>
      <c r="D28" s="26">
        <v>68.2480103708638</v>
      </c>
      <c r="E28" s="26">
        <v>70.9662894705978</v>
      </c>
      <c r="F28" s="26">
        <v>68.06718421684231</v>
      </c>
      <c r="G28" s="26">
        <v>70.1398478348984</v>
      </c>
      <c r="H28" s="26">
        <v>68.4311</v>
      </c>
    </row>
    <row r="29" spans="1:8">
      <c r="A29" s="28">
        <v>0.27</v>
      </c>
      <c r="B29" s="26">
        <v>63.7676527862967</v>
      </c>
      <c r="C29" s="26">
        <v>72.6958333333333</v>
      </c>
      <c r="D29" s="26">
        <v>68.5659601456013</v>
      </c>
      <c r="E29" s="26">
        <v>71.01242897726461</v>
      </c>
      <c r="F29" s="26">
        <v>68.1597153436704</v>
      </c>
      <c r="G29" s="26">
        <v>70.31195068824729</v>
      </c>
      <c r="H29" s="26">
        <v>68.4311</v>
      </c>
    </row>
    <row r="30" spans="1:8">
      <c r="A30" s="28">
        <v>0.28</v>
      </c>
      <c r="B30" s="26">
        <v>64.1148565909705</v>
      </c>
      <c r="C30" s="26">
        <v>72.6958333333333</v>
      </c>
      <c r="D30" s="26">
        <v>68.88405894220971</v>
      </c>
      <c r="E30" s="26">
        <v>71.0678818547848</v>
      </c>
      <c r="F30" s="26">
        <v>68.2618271271305</v>
      </c>
      <c r="G30" s="26">
        <v>70.473462143238</v>
      </c>
      <c r="H30" s="26">
        <v>68.4311</v>
      </c>
    </row>
    <row r="31" spans="1:8">
      <c r="A31" s="28">
        <v>0.29</v>
      </c>
      <c r="B31" s="26">
        <v>64.4578923114876</v>
      </c>
      <c r="C31" s="26">
        <v>72.6958333333333</v>
      </c>
      <c r="D31" s="26">
        <v>69.2016845270452</v>
      </c>
      <c r="E31" s="26">
        <v>71.11555025751569</v>
      </c>
      <c r="F31" s="26">
        <v>68.3637939936401</v>
      </c>
      <c r="G31" s="26">
        <v>70.6409826481521</v>
      </c>
      <c r="H31" s="26">
        <v>68.4574269905234</v>
      </c>
    </row>
    <row r="32" spans="1:8">
      <c r="A32" s="28">
        <v>0.3</v>
      </c>
      <c r="B32" s="26">
        <v>64.7995118532823</v>
      </c>
      <c r="C32" s="26">
        <v>72.6958333333333</v>
      </c>
      <c r="D32" s="26">
        <v>69.5306267420705</v>
      </c>
      <c r="E32" s="26">
        <v>71.1652187961552</v>
      </c>
      <c r="F32" s="26">
        <v>68.4659779401</v>
      </c>
      <c r="G32" s="26">
        <v>70.8040877713141</v>
      </c>
      <c r="H32" s="26">
        <v>68.4905305203211</v>
      </c>
    </row>
    <row r="33" spans="1:8">
      <c r="A33" s="28">
        <v>0.31</v>
      </c>
      <c r="B33" s="26">
        <v>65.1427375645259</v>
      </c>
      <c r="C33" s="26">
        <v>72.6958333333333</v>
      </c>
      <c r="D33" s="26">
        <v>69.845559213249</v>
      </c>
      <c r="E33" s="26">
        <v>71.22886785304431</v>
      </c>
      <c r="F33" s="26">
        <v>68.58222305296511</v>
      </c>
      <c r="G33" s="26">
        <v>70.959985235326</v>
      </c>
      <c r="H33" s="26">
        <v>68.5257100492087</v>
      </c>
    </row>
    <row r="34" spans="1:8">
      <c r="A34" s="28">
        <v>0.32</v>
      </c>
      <c r="B34" s="26">
        <v>65.4554110625173</v>
      </c>
      <c r="C34" s="26">
        <v>72.6958333333333</v>
      </c>
      <c r="D34" s="26">
        <v>70.1396839689869</v>
      </c>
      <c r="E34" s="26">
        <v>71.23333333333341</v>
      </c>
      <c r="F34" s="26">
        <v>68.6901607128702</v>
      </c>
      <c r="G34" s="26">
        <v>71.11730854166331</v>
      </c>
      <c r="H34" s="26">
        <v>68.5593002935792</v>
      </c>
    </row>
    <row r="35" spans="1:8">
      <c r="A35" s="28">
        <v>0.33</v>
      </c>
      <c r="B35" s="26">
        <v>65.81219035271999</v>
      </c>
      <c r="C35" s="26">
        <v>72.6958333333333</v>
      </c>
      <c r="D35" s="26">
        <v>70.43464299933061</v>
      </c>
      <c r="E35" s="26">
        <v>71.2867007635369</v>
      </c>
      <c r="F35" s="26">
        <v>68.8193325970821</v>
      </c>
      <c r="G35" s="26">
        <v>71.2695086741238</v>
      </c>
      <c r="H35" s="26">
        <v>68.59204740950349</v>
      </c>
    </row>
    <row r="36" spans="1:8">
      <c r="A36" s="28">
        <v>0.34</v>
      </c>
      <c r="B36" s="26">
        <v>66.1284730114623</v>
      </c>
      <c r="C36" s="26">
        <v>72.6958333333333</v>
      </c>
      <c r="D36" s="26">
        <v>70.75433914380289</v>
      </c>
      <c r="E36" s="26">
        <v>71.3522774795926</v>
      </c>
      <c r="F36" s="26">
        <v>68.93398985268441</v>
      </c>
      <c r="G36" s="26">
        <v>71.4350180290858</v>
      </c>
      <c r="H36" s="26">
        <v>68.63627590630909</v>
      </c>
    </row>
    <row r="37" spans="1:8">
      <c r="A37" s="28">
        <v>0.35</v>
      </c>
      <c r="B37" s="26">
        <v>66.42222088218639</v>
      </c>
      <c r="C37" s="26">
        <v>72.6958333333333</v>
      </c>
      <c r="D37" s="26">
        <v>71.02476234545929</v>
      </c>
      <c r="E37" s="26">
        <v>71.4155056461407</v>
      </c>
      <c r="F37" s="26">
        <v>69.04079572756289</v>
      </c>
      <c r="G37" s="26">
        <v>71.5808956263016</v>
      </c>
      <c r="H37" s="26">
        <v>68.6799131015362</v>
      </c>
    </row>
    <row r="38" spans="1:8">
      <c r="A38" s="28">
        <v>0.36</v>
      </c>
      <c r="B38" s="26">
        <v>66.74596622720129</v>
      </c>
      <c r="C38" s="26">
        <v>72.6958333333333</v>
      </c>
      <c r="D38" s="26">
        <v>71.31664879021569</v>
      </c>
      <c r="E38" s="26">
        <v>71.4790575122158</v>
      </c>
      <c r="F38" s="26">
        <v>69.151910767706</v>
      </c>
      <c r="G38" s="26">
        <v>71.7273340288678</v>
      </c>
      <c r="H38" s="26">
        <v>68.7312969408739</v>
      </c>
    </row>
    <row r="39" spans="1:8">
      <c r="A39" s="28">
        <v>0.37</v>
      </c>
      <c r="B39" s="26">
        <v>67.071186077891</v>
      </c>
      <c r="C39" s="26">
        <v>72.6958333333333</v>
      </c>
      <c r="D39" s="26">
        <v>71.6098281190154</v>
      </c>
      <c r="E39" s="26">
        <v>71.54450979549451</v>
      </c>
      <c r="F39" s="26">
        <v>69.2691830168188</v>
      </c>
      <c r="G39" s="26">
        <v>71.86445504387849</v>
      </c>
      <c r="H39" s="26">
        <v>68.79055645438</v>
      </c>
    </row>
    <row r="40" spans="1:8">
      <c r="A40" s="28">
        <v>0.38</v>
      </c>
      <c r="B40" s="26">
        <v>67.390889065976</v>
      </c>
      <c r="C40" s="26">
        <v>72.6958333333333</v>
      </c>
      <c r="D40" s="26">
        <v>71.87094066091051</v>
      </c>
      <c r="E40" s="26">
        <v>71.61</v>
      </c>
      <c r="F40" s="26">
        <v>69.38718837803491</v>
      </c>
      <c r="G40" s="26">
        <v>72.025086366008</v>
      </c>
      <c r="H40" s="26">
        <v>68.84476501161809</v>
      </c>
    </row>
    <row r="41" spans="1:8">
      <c r="A41" s="28">
        <v>0.39</v>
      </c>
      <c r="B41" s="26">
        <v>67.7097971270686</v>
      </c>
      <c r="C41" s="26">
        <v>72.6958333333333</v>
      </c>
      <c r="D41" s="26">
        <v>72.14148205198001</v>
      </c>
      <c r="E41" s="26">
        <v>71.6235257453469</v>
      </c>
      <c r="F41" s="26">
        <v>69.51580846318301</v>
      </c>
      <c r="G41" s="26">
        <v>72.1514086215643</v>
      </c>
      <c r="H41" s="26">
        <v>68.90576366061271</v>
      </c>
    </row>
    <row r="42" spans="1:8">
      <c r="A42" s="28">
        <v>0.4</v>
      </c>
      <c r="B42" s="26">
        <v>68.0425975690948</v>
      </c>
      <c r="C42" s="26">
        <v>72.6958333333333</v>
      </c>
      <c r="D42" s="26">
        <v>72.3996141821188</v>
      </c>
      <c r="E42" s="26">
        <v>71.7018857693009</v>
      </c>
      <c r="F42" s="26">
        <v>69.6313202528021</v>
      </c>
      <c r="G42" s="26">
        <v>72.3034262770626</v>
      </c>
      <c r="H42" s="26">
        <v>68.9723476261681</v>
      </c>
    </row>
    <row r="43" spans="1:8">
      <c r="A43" s="28">
        <v>0.41</v>
      </c>
      <c r="B43" s="26">
        <v>68.3390496568211</v>
      </c>
      <c r="C43" s="26">
        <v>72.6958333333333</v>
      </c>
      <c r="D43" s="26">
        <v>72.67728631832161</v>
      </c>
      <c r="E43" s="26">
        <v>71.7697633052493</v>
      </c>
      <c r="F43" s="26">
        <v>69.7523264198996</v>
      </c>
      <c r="G43" s="26">
        <v>72.4386031785092</v>
      </c>
      <c r="H43" s="26">
        <v>69.0442566518222</v>
      </c>
    </row>
    <row r="44" spans="1:8">
      <c r="A44" s="28">
        <v>0.42</v>
      </c>
      <c r="B44" s="26">
        <v>68.6537836537691</v>
      </c>
      <c r="C44" s="26">
        <v>72.6958333333333</v>
      </c>
      <c r="D44" s="26">
        <v>72.9291021260528</v>
      </c>
      <c r="E44" s="26">
        <v>71.8406119890535</v>
      </c>
      <c r="F44" s="26">
        <v>69.890347118156</v>
      </c>
      <c r="G44" s="26">
        <v>72.5778745319456</v>
      </c>
      <c r="H44" s="26">
        <v>69.1309762445678</v>
      </c>
    </row>
    <row r="45" spans="1:8">
      <c r="A45" s="28">
        <v>0.43</v>
      </c>
      <c r="B45" s="26">
        <v>68.9655570585807</v>
      </c>
      <c r="C45" s="26">
        <v>72.6958333333333</v>
      </c>
      <c r="D45" s="26">
        <v>73.1864419749611</v>
      </c>
      <c r="E45" s="26">
        <v>71.9090063430499</v>
      </c>
      <c r="F45" s="26">
        <v>70.0077852513342</v>
      </c>
      <c r="G45" s="26">
        <v>72.71922784863629</v>
      </c>
      <c r="H45" s="26">
        <v>69.219427259093</v>
      </c>
    </row>
    <row r="46" spans="1:8">
      <c r="A46" s="28">
        <v>0.44</v>
      </c>
      <c r="B46" s="26">
        <v>69.2842685483774</v>
      </c>
      <c r="C46" s="26">
        <v>72.6958333333333</v>
      </c>
      <c r="D46" s="26">
        <v>73.467431264732</v>
      </c>
      <c r="E46" s="26">
        <v>71.9804179941999</v>
      </c>
      <c r="F46" s="26">
        <v>70.1266995610851</v>
      </c>
      <c r="G46" s="26">
        <v>72.86626431207161</v>
      </c>
      <c r="H46" s="26">
        <v>69.3080841267812</v>
      </c>
    </row>
    <row r="47" spans="1:8">
      <c r="A47" s="28">
        <v>0.45</v>
      </c>
      <c r="B47" s="26">
        <v>69.612118825845</v>
      </c>
      <c r="C47" s="26">
        <v>72.6958333333333</v>
      </c>
      <c r="D47" s="26">
        <v>73.74101217032511</v>
      </c>
      <c r="E47" s="26">
        <v>72.0121879376488</v>
      </c>
      <c r="F47" s="26">
        <v>70.26018253541071</v>
      </c>
      <c r="G47" s="26">
        <v>73.00204071903239</v>
      </c>
      <c r="H47" s="26">
        <v>69.40917204899981</v>
      </c>
    </row>
    <row r="48" spans="1:8">
      <c r="A48" s="28">
        <v>0.46</v>
      </c>
      <c r="B48" s="26">
        <v>69.9642778376643</v>
      </c>
      <c r="C48" s="26">
        <v>72.6958333333333</v>
      </c>
      <c r="D48" s="26">
        <v>73.9639828166802</v>
      </c>
      <c r="E48" s="26">
        <v>72.0833894331403</v>
      </c>
      <c r="F48" s="26">
        <v>70.3898676374986</v>
      </c>
      <c r="G48" s="26">
        <v>73.14664454181241</v>
      </c>
      <c r="H48" s="26">
        <v>69.52357692196431</v>
      </c>
    </row>
    <row r="49" spans="1:8">
      <c r="A49" s="28">
        <v>0.47</v>
      </c>
      <c r="B49" s="26">
        <v>70.2709864704975</v>
      </c>
      <c r="C49" s="26">
        <v>72.6958333333333</v>
      </c>
      <c r="D49" s="26">
        <v>74.2156333041017</v>
      </c>
      <c r="E49" s="26">
        <v>72.1589103390213</v>
      </c>
      <c r="F49" s="26">
        <v>70.52563707240439</v>
      </c>
      <c r="G49" s="26">
        <v>73.2787137972597</v>
      </c>
      <c r="H49" s="26">
        <v>69.6235088346349</v>
      </c>
    </row>
    <row r="50" spans="1:8">
      <c r="A50" s="28">
        <v>0.48</v>
      </c>
      <c r="B50" s="26">
        <v>70.6430236030197</v>
      </c>
      <c r="C50" s="26">
        <v>72.6958333333333</v>
      </c>
      <c r="D50" s="26">
        <v>74.48240591086859</v>
      </c>
      <c r="E50" s="26">
        <v>72.24623906672601</v>
      </c>
      <c r="F50" s="26">
        <v>70.67153150047341</v>
      </c>
      <c r="G50" s="26">
        <v>73.4287134242807</v>
      </c>
      <c r="H50" s="26">
        <v>69.7330802467618</v>
      </c>
    </row>
    <row r="51" spans="1:8">
      <c r="A51" s="28">
        <v>0.49</v>
      </c>
      <c r="B51" s="26">
        <v>70.99581791912399</v>
      </c>
      <c r="C51" s="26">
        <v>72.6958333333333</v>
      </c>
      <c r="D51" s="26">
        <v>74.73736713640319</v>
      </c>
      <c r="E51" s="26">
        <v>72.32174163260569</v>
      </c>
      <c r="F51" s="26">
        <v>70.81704705082591</v>
      </c>
      <c r="G51" s="26">
        <v>73.5565962623711</v>
      </c>
      <c r="H51" s="26">
        <v>69.84892078467099</v>
      </c>
    </row>
    <row r="52" spans="1:8">
      <c r="A52" s="28">
        <v>0.5</v>
      </c>
      <c r="B52" s="26">
        <v>71.28534359575529</v>
      </c>
      <c r="C52" s="26">
        <v>72.6958333333333</v>
      </c>
      <c r="D52" s="26">
        <v>74.97837087219089</v>
      </c>
      <c r="E52" s="26">
        <v>72.363421265388</v>
      </c>
      <c r="F52" s="26">
        <v>70.96123942070309</v>
      </c>
      <c r="G52" s="26">
        <v>73.6916144564578</v>
      </c>
      <c r="H52" s="26">
        <v>69.9536029567021</v>
      </c>
    </row>
    <row r="53" spans="1:8">
      <c r="A53" s="28">
        <v>0.51</v>
      </c>
      <c r="B53" s="26">
        <v>71.62046197641931</v>
      </c>
      <c r="C53" s="26">
        <v>72.6958333333333</v>
      </c>
      <c r="D53" s="26">
        <v>75.1937440771385</v>
      </c>
      <c r="E53" s="26">
        <v>72.4467223148671</v>
      </c>
      <c r="F53" s="26">
        <v>71.1148467928827</v>
      </c>
      <c r="G53" s="26">
        <v>73.8294983974824</v>
      </c>
      <c r="H53" s="26">
        <v>70.0650320317411</v>
      </c>
    </row>
    <row r="54" spans="1:8">
      <c r="A54" s="28">
        <v>0.52</v>
      </c>
      <c r="B54" s="26">
        <v>71.98568754066321</v>
      </c>
      <c r="C54" s="26">
        <v>72.6958333333333</v>
      </c>
      <c r="D54" s="26">
        <v>75.4175249779673</v>
      </c>
      <c r="E54" s="26">
        <v>72.5298314671527</v>
      </c>
      <c r="F54" s="26">
        <v>71.2781395785571</v>
      </c>
      <c r="G54" s="26">
        <v>73.9575376172879</v>
      </c>
      <c r="H54" s="26">
        <v>70.1934911645513</v>
      </c>
    </row>
    <row r="55" spans="1:8">
      <c r="A55" s="28">
        <v>0.53</v>
      </c>
      <c r="B55" s="26">
        <v>72.324957334188</v>
      </c>
      <c r="C55" s="26">
        <v>72.6958333333333</v>
      </c>
      <c r="D55" s="26">
        <v>75.6322960905227</v>
      </c>
      <c r="E55" s="26">
        <v>72.6163045421489</v>
      </c>
      <c r="F55" s="26">
        <v>71.425885557263</v>
      </c>
      <c r="G55" s="26">
        <v>74.07442388590241</v>
      </c>
      <c r="H55" s="26">
        <v>70.3352255447158</v>
      </c>
    </row>
    <row r="56" spans="1:8">
      <c r="A56" s="28">
        <v>0.54</v>
      </c>
      <c r="B56" s="26">
        <v>72.6659057507815</v>
      </c>
      <c r="C56" s="26">
        <v>72.6958333333333</v>
      </c>
      <c r="D56" s="26">
        <v>75.8400309354989</v>
      </c>
      <c r="E56" s="26">
        <v>72.7043067566119</v>
      </c>
      <c r="F56" s="26">
        <v>71.5806580892036</v>
      </c>
      <c r="G56" s="26">
        <v>74.1890479232967</v>
      </c>
      <c r="H56" s="26">
        <v>70.4601794302137</v>
      </c>
    </row>
    <row r="57" spans="1:8">
      <c r="A57" s="28">
        <v>0.55</v>
      </c>
      <c r="B57" s="26">
        <v>73.029570100966</v>
      </c>
      <c r="C57" s="26">
        <v>72.6958333333333</v>
      </c>
      <c r="D57" s="26">
        <v>76.0403092984395</v>
      </c>
      <c r="E57" s="26">
        <v>72.7506109216426</v>
      </c>
      <c r="F57" s="26">
        <v>71.723561951303</v>
      </c>
      <c r="G57" s="26">
        <v>74.32393241469821</v>
      </c>
      <c r="H57" s="26">
        <v>70.6382598727247</v>
      </c>
    </row>
    <row r="58" spans="1:8">
      <c r="A58" s="28">
        <v>0.5600000000000001</v>
      </c>
      <c r="B58" s="26">
        <v>73.3570137949155</v>
      </c>
      <c r="C58" s="26">
        <v>72.6958333333333</v>
      </c>
      <c r="D58" s="26">
        <v>76.3003463703471</v>
      </c>
      <c r="E58" s="26">
        <v>72.8386593997372</v>
      </c>
      <c r="F58" s="26">
        <v>71.87507672527261</v>
      </c>
      <c r="G58" s="26">
        <v>74.44787292365091</v>
      </c>
      <c r="H58" s="26">
        <v>70.8027928857547</v>
      </c>
    </row>
    <row r="59" spans="1:8">
      <c r="A59" s="28">
        <v>0.57</v>
      </c>
      <c r="B59" s="26">
        <v>73.7223367835732</v>
      </c>
      <c r="C59" s="26">
        <v>72.6958333333333</v>
      </c>
      <c r="D59" s="26">
        <v>76.5095045656105</v>
      </c>
      <c r="E59" s="26">
        <v>72.9157603823851</v>
      </c>
      <c r="F59" s="26">
        <v>72.0452523911749</v>
      </c>
      <c r="G59" s="26">
        <v>74.5769813754893</v>
      </c>
      <c r="H59" s="26">
        <v>70.9793727966029</v>
      </c>
    </row>
    <row r="60" spans="1:8">
      <c r="A60" s="28">
        <v>0.58</v>
      </c>
      <c r="B60" s="26">
        <v>74.0562231474623</v>
      </c>
      <c r="C60" s="26">
        <v>72.6958333333333</v>
      </c>
      <c r="D60" s="26">
        <v>76.72616900710059</v>
      </c>
      <c r="E60" s="26">
        <v>73.0012299494533</v>
      </c>
      <c r="F60" s="26">
        <v>72.2029663505902</v>
      </c>
      <c r="G60" s="26">
        <v>74.6888003775052</v>
      </c>
      <c r="H60" s="26">
        <v>71.15178790039541</v>
      </c>
    </row>
    <row r="61" spans="1:8">
      <c r="A61" s="28">
        <v>0.59</v>
      </c>
      <c r="B61" s="26">
        <v>74.4017319045505</v>
      </c>
      <c r="C61" s="26">
        <v>72.6958333333333</v>
      </c>
      <c r="D61" s="26">
        <v>76.9217492814835</v>
      </c>
      <c r="E61" s="26">
        <v>73.0842956495536</v>
      </c>
      <c r="F61" s="26">
        <v>72.35210853365351</v>
      </c>
      <c r="G61" s="26">
        <v>74.79738309160381</v>
      </c>
      <c r="H61" s="26">
        <v>71.322331769073</v>
      </c>
    </row>
    <row r="62" spans="1:8">
      <c r="A62" s="28">
        <v>0.6</v>
      </c>
      <c r="B62" s="26">
        <v>74.753992498588</v>
      </c>
      <c r="C62" s="26">
        <v>72.6958333333333</v>
      </c>
      <c r="D62" s="26">
        <v>77.1203819454587</v>
      </c>
      <c r="E62" s="26">
        <v>73.1400058061454</v>
      </c>
      <c r="F62" s="26">
        <v>72.49666023424869</v>
      </c>
      <c r="G62" s="26">
        <v>74.9266439319929</v>
      </c>
      <c r="H62" s="26">
        <v>71.5177809751892</v>
      </c>
    </row>
    <row r="63" spans="1:8">
      <c r="A63" s="28">
        <v>0.61</v>
      </c>
      <c r="B63" s="26">
        <v>75.0822995027185</v>
      </c>
      <c r="C63" s="26">
        <v>72.6958333333333</v>
      </c>
      <c r="D63" s="26">
        <v>77.31897103047839</v>
      </c>
      <c r="E63" s="26">
        <v>73.2254984212161</v>
      </c>
      <c r="F63" s="26">
        <v>72.65077268060151</v>
      </c>
      <c r="G63" s="26">
        <v>75.0342583837097</v>
      </c>
      <c r="H63" s="26">
        <v>71.71587949561579</v>
      </c>
    </row>
    <row r="64" spans="1:8">
      <c r="A64" s="28">
        <v>0.62</v>
      </c>
      <c r="B64" s="26">
        <v>75.44436298135039</v>
      </c>
      <c r="C64" s="26">
        <v>72.6958333333333</v>
      </c>
      <c r="D64" s="26">
        <v>77.5120378931946</v>
      </c>
      <c r="E64" s="26">
        <v>73.30597103143531</v>
      </c>
      <c r="F64" s="26">
        <v>72.8212407846716</v>
      </c>
      <c r="G64" s="26">
        <v>75.15222930901371</v>
      </c>
      <c r="H64" s="26">
        <v>71.9179157084083</v>
      </c>
    </row>
    <row r="65" spans="1:8">
      <c r="A65" s="28">
        <v>0.63</v>
      </c>
      <c r="B65" s="26">
        <v>75.818856160319</v>
      </c>
      <c r="C65" s="26">
        <v>72.6958333333333</v>
      </c>
      <c r="D65" s="26">
        <v>77.67753587700101</v>
      </c>
      <c r="E65" s="26">
        <v>73.39279206975939</v>
      </c>
      <c r="F65" s="26">
        <v>72.9666179920047</v>
      </c>
      <c r="G65" s="26">
        <v>75.2500279484252</v>
      </c>
      <c r="H65" s="26">
        <v>72.12021959292321</v>
      </c>
    </row>
    <row r="66" spans="1:8">
      <c r="A66" s="28">
        <v>0.64</v>
      </c>
      <c r="B66" s="26">
        <v>76.1755469822475</v>
      </c>
      <c r="C66" s="26">
        <v>72.6958333333333</v>
      </c>
      <c r="D66" s="26">
        <v>77.83980806001119</v>
      </c>
      <c r="E66" s="26">
        <v>73.4691919786857</v>
      </c>
      <c r="F66" s="26">
        <v>73.1116709009617</v>
      </c>
      <c r="G66" s="26">
        <v>75.35285607844099</v>
      </c>
      <c r="H66" s="26">
        <v>72.30738150377179</v>
      </c>
    </row>
    <row r="67" spans="1:8">
      <c r="A67" s="28">
        <v>0.65</v>
      </c>
      <c r="B67" s="26">
        <v>76.53438894510811</v>
      </c>
      <c r="C67" s="26">
        <v>72.6958333333333</v>
      </c>
      <c r="D67" s="26">
        <v>77.982947880154</v>
      </c>
      <c r="E67" s="26">
        <v>73.535895214695</v>
      </c>
      <c r="F67" s="26">
        <v>73.2725013530106</v>
      </c>
      <c r="G67" s="26">
        <v>75.44932633299049</v>
      </c>
      <c r="H67" s="26">
        <v>72.51419707574421</v>
      </c>
    </row>
    <row r="68" spans="1:8">
      <c r="A68" s="28">
        <v>0.66</v>
      </c>
      <c r="B68" s="26">
        <v>76.8859929673888</v>
      </c>
      <c r="C68" s="26">
        <v>72.6958333333333</v>
      </c>
      <c r="D68" s="26">
        <v>78.1410671281526</v>
      </c>
      <c r="E68" s="26">
        <v>73.6341050796733</v>
      </c>
      <c r="F68" s="26">
        <v>73.4269636753608</v>
      </c>
      <c r="G68" s="26">
        <v>75.54696744369841</v>
      </c>
      <c r="H68" s="26">
        <v>72.7309571972515</v>
      </c>
    </row>
    <row r="69" spans="1:8">
      <c r="A69" s="28">
        <v>0.67</v>
      </c>
      <c r="B69" s="26">
        <v>77.32821010702931</v>
      </c>
      <c r="C69" s="26">
        <v>72.6958333333333</v>
      </c>
      <c r="D69" s="26">
        <v>78.30398464934009</v>
      </c>
      <c r="E69" s="26">
        <v>73.7195355258004</v>
      </c>
      <c r="F69" s="26">
        <v>73.5714254493093</v>
      </c>
      <c r="G69" s="26">
        <v>75.63257288734459</v>
      </c>
      <c r="H69" s="26">
        <v>72.9323138685989</v>
      </c>
    </row>
    <row r="70" spans="1:8">
      <c r="A70" s="28">
        <v>0.68</v>
      </c>
      <c r="B70" s="26">
        <v>77.7159494531134</v>
      </c>
      <c r="C70" s="26">
        <v>72.6958333333333</v>
      </c>
      <c r="D70" s="26">
        <v>78.4333046379552</v>
      </c>
      <c r="E70" s="26">
        <v>73.8059516399078</v>
      </c>
      <c r="F70" s="26">
        <v>73.74418505298721</v>
      </c>
      <c r="G70" s="26">
        <v>75.731450349694</v>
      </c>
      <c r="H70" s="26">
        <v>73.19266306495081</v>
      </c>
    </row>
    <row r="71" spans="1:8">
      <c r="A71" s="28">
        <v>0.6899999999999999</v>
      </c>
      <c r="B71" s="26">
        <v>78.1091261669774</v>
      </c>
      <c r="C71" s="26">
        <v>72.6958333333333</v>
      </c>
      <c r="D71" s="26">
        <v>78.5859427588578</v>
      </c>
      <c r="E71" s="26">
        <v>73.87</v>
      </c>
      <c r="F71" s="26">
        <v>73.8877501689707</v>
      </c>
      <c r="G71" s="26">
        <v>75.82582833860479</v>
      </c>
      <c r="H71" s="26">
        <v>73.4373981885375</v>
      </c>
    </row>
    <row r="72" spans="1:8">
      <c r="A72" s="28">
        <v>0.7</v>
      </c>
      <c r="B72" s="26">
        <v>78.5141901172627</v>
      </c>
      <c r="C72" s="26">
        <v>72.6958333333333</v>
      </c>
      <c r="D72" s="26">
        <v>78.7151849428988</v>
      </c>
      <c r="E72" s="26">
        <v>73.9418883407496</v>
      </c>
      <c r="F72" s="26">
        <v>74.02305137135581</v>
      </c>
      <c r="G72" s="26">
        <v>75.91580293444279</v>
      </c>
      <c r="H72" s="26">
        <v>73.6939416999052</v>
      </c>
    </row>
    <row r="73" spans="1:8">
      <c r="A73" s="28">
        <v>0.71</v>
      </c>
      <c r="B73" s="26">
        <v>78.9710103129059</v>
      </c>
      <c r="C73" s="26">
        <v>72.6958333333333</v>
      </c>
      <c r="D73" s="26">
        <v>78.8461902010956</v>
      </c>
      <c r="E73" s="26">
        <v>74.0224852014379</v>
      </c>
      <c r="F73" s="26">
        <v>74.1723022513915</v>
      </c>
      <c r="G73" s="26">
        <v>76.0034485260186</v>
      </c>
      <c r="H73" s="26">
        <v>73.9796032539801</v>
      </c>
    </row>
    <row r="74" spans="1:8">
      <c r="A74" s="28">
        <v>0.72</v>
      </c>
      <c r="B74" s="26">
        <v>79.3797954852201</v>
      </c>
      <c r="C74" s="26">
        <v>72.6958333333333</v>
      </c>
      <c r="D74" s="26">
        <v>78.9749010066659</v>
      </c>
      <c r="E74" s="26">
        <v>74.1094175140352</v>
      </c>
      <c r="F74" s="26">
        <v>74.29509884609161</v>
      </c>
      <c r="G74" s="26">
        <v>76.07990948470869</v>
      </c>
      <c r="H74" s="26">
        <v>74.2383949305955</v>
      </c>
    </row>
    <row r="75" spans="1:8">
      <c r="A75" s="28">
        <v>0.73</v>
      </c>
      <c r="B75" s="26">
        <v>79.8257163844216</v>
      </c>
      <c r="C75" s="26">
        <v>72.6958333333333</v>
      </c>
      <c r="D75" s="26">
        <v>79.0801590174413</v>
      </c>
      <c r="E75" s="26">
        <v>74.1880291564585</v>
      </c>
      <c r="F75" s="26">
        <v>74.4356547023894</v>
      </c>
      <c r="G75" s="26">
        <v>76.1653606419284</v>
      </c>
      <c r="H75" s="26">
        <v>74.4881638567055</v>
      </c>
    </row>
    <row r="76" spans="1:8">
      <c r="A76" s="28">
        <v>0.74</v>
      </c>
      <c r="B76" s="26">
        <v>80.301800642598</v>
      </c>
      <c r="C76" s="26">
        <v>72.6958333333333</v>
      </c>
      <c r="D76" s="26">
        <v>79.18694744395</v>
      </c>
      <c r="E76" s="26">
        <v>74.2466666666667</v>
      </c>
      <c r="F76" s="26">
        <v>74.55883705910399</v>
      </c>
      <c r="G76" s="26">
        <v>76.23615433601699</v>
      </c>
      <c r="H76" s="26">
        <v>74.7728079330095</v>
      </c>
    </row>
    <row r="77" spans="1:8">
      <c r="A77" s="28">
        <v>0.75</v>
      </c>
      <c r="B77" s="26">
        <v>80.7714751347246</v>
      </c>
      <c r="C77" s="26">
        <v>72.6958333333333</v>
      </c>
      <c r="D77" s="26">
        <v>79.2943986506078</v>
      </c>
      <c r="E77" s="26">
        <v>74.308443764727</v>
      </c>
      <c r="F77" s="26">
        <v>74.682262482672</v>
      </c>
      <c r="G77" s="26">
        <v>76.30986693796309</v>
      </c>
      <c r="H77" s="26">
        <v>75.0304936356267</v>
      </c>
    </row>
    <row r="78" spans="1:8">
      <c r="A78" s="28">
        <v>0.76</v>
      </c>
      <c r="B78" s="26">
        <v>81.2050006224564</v>
      </c>
      <c r="C78" s="26">
        <v>72.6958333333333</v>
      </c>
      <c r="D78" s="26">
        <v>79.38461059775059</v>
      </c>
      <c r="E78" s="26">
        <v>74.38511314791999</v>
      </c>
      <c r="F78" s="26">
        <v>74.7974668962993</v>
      </c>
      <c r="G78" s="26">
        <v>76.37415238121019</v>
      </c>
      <c r="H78" s="26">
        <v>75.32971845808569</v>
      </c>
    </row>
    <row r="79" spans="1:8">
      <c r="A79" s="28">
        <v>0.77</v>
      </c>
      <c r="B79" s="26">
        <v>81.7417560692739</v>
      </c>
      <c r="C79" s="26">
        <v>72.6958333333333</v>
      </c>
      <c r="D79" s="26">
        <v>79.47437447301679</v>
      </c>
      <c r="E79" s="26">
        <v>74.46317790434939</v>
      </c>
      <c r="F79" s="26">
        <v>74.9027029036223</v>
      </c>
      <c r="G79" s="26">
        <v>76.4428172707732</v>
      </c>
      <c r="H79" s="26">
        <v>75.6083201782549</v>
      </c>
    </row>
    <row r="80" spans="1:8">
      <c r="A80" s="28">
        <v>0.78</v>
      </c>
      <c r="B80" s="26">
        <v>82.2101707509522</v>
      </c>
      <c r="C80" s="26">
        <v>72.6958333333333</v>
      </c>
      <c r="D80" s="26">
        <v>79.56162106527449</v>
      </c>
      <c r="E80" s="26">
        <v>74.5309120641066</v>
      </c>
      <c r="F80" s="26">
        <v>75</v>
      </c>
      <c r="G80" s="26">
        <v>76.5061667418197</v>
      </c>
      <c r="H80" s="26">
        <v>75.9335602320857</v>
      </c>
    </row>
    <row r="81" spans="1:8">
      <c r="A81" s="28">
        <v>0.79</v>
      </c>
      <c r="B81" s="26">
        <v>82.7184368830265</v>
      </c>
      <c r="C81" s="26">
        <v>72.6958333333333</v>
      </c>
      <c r="D81" s="26">
        <v>79.6343686132238</v>
      </c>
      <c r="E81" s="26">
        <v>74.59351187166359</v>
      </c>
      <c r="F81" s="26">
        <v>75.11804524517601</v>
      </c>
      <c r="G81" s="26">
        <v>76.57031107849581</v>
      </c>
      <c r="H81" s="26">
        <v>76.2654680745532</v>
      </c>
    </row>
    <row r="82" spans="1:8">
      <c r="A82" s="28">
        <v>0.8</v>
      </c>
      <c r="B82" s="26">
        <v>83.29636266515369</v>
      </c>
      <c r="C82" s="26">
        <v>72.6958333333333</v>
      </c>
      <c r="D82" s="26">
        <v>79.70335148106039</v>
      </c>
      <c r="E82" s="26">
        <v>74.62333333333331</v>
      </c>
      <c r="F82" s="26">
        <v>75.3019088015003</v>
      </c>
      <c r="G82" s="26">
        <v>76.6208665430176</v>
      </c>
      <c r="H82" s="26">
        <v>76.6307987362665</v>
      </c>
    </row>
    <row r="83" spans="1:8">
      <c r="A83" s="28">
        <v>0.8100000000000001</v>
      </c>
      <c r="B83" s="26">
        <v>83.84252902720991</v>
      </c>
      <c r="C83" s="26">
        <v>72.6958333333333</v>
      </c>
      <c r="D83" s="26">
        <v>79.76387737017011</v>
      </c>
      <c r="E83" s="26">
        <v>74.6463777516642</v>
      </c>
      <c r="F83" s="26">
        <v>75.4927347225706</v>
      </c>
      <c r="G83" s="26">
        <v>76.6668555747909</v>
      </c>
      <c r="H83" s="26">
        <v>76.9543849752218</v>
      </c>
    </row>
    <row r="84" spans="1:8">
      <c r="A84" s="28">
        <v>0.82</v>
      </c>
      <c r="B84" s="26">
        <v>84.4906983882822</v>
      </c>
      <c r="C84" s="26">
        <v>72.6958333333333</v>
      </c>
      <c r="D84" s="26">
        <v>79.81920022862219</v>
      </c>
      <c r="E84" s="26">
        <v>74.70170061011621</v>
      </c>
      <c r="F84" s="26">
        <v>75.7125042377635</v>
      </c>
      <c r="G84" s="26">
        <v>76.7098439280378</v>
      </c>
      <c r="H84" s="26">
        <v>77.31179218595101</v>
      </c>
    </row>
    <row r="85" spans="1:8">
      <c r="A85" s="28">
        <v>0.83</v>
      </c>
      <c r="B85" s="26">
        <v>85.0768175637109</v>
      </c>
      <c r="C85" s="26">
        <v>72.6958333333333</v>
      </c>
      <c r="D85" s="26">
        <v>79.8783100651905</v>
      </c>
      <c r="E85" s="26">
        <v>74.7608104466845</v>
      </c>
      <c r="F85" s="26">
        <v>75.96316705930499</v>
      </c>
      <c r="G85" s="26">
        <v>76.7549743598351</v>
      </c>
      <c r="H85" s="26">
        <v>77.69091347600271</v>
      </c>
    </row>
    <row r="86" spans="1:8">
      <c r="A86" s="28">
        <v>0.84</v>
      </c>
      <c r="B86" s="26">
        <v>85.682462216697</v>
      </c>
      <c r="C86" s="26">
        <v>72.6958333333333</v>
      </c>
      <c r="D86" s="26">
        <v>79.9337937495615</v>
      </c>
      <c r="E86" s="26">
        <v>74.8162941310555</v>
      </c>
      <c r="F86" s="26">
        <v>76.27325361574999</v>
      </c>
      <c r="G86" s="26">
        <v>76.79710883192961</v>
      </c>
      <c r="H86" s="26">
        <v>78.06821365187351</v>
      </c>
    </row>
    <row r="87" spans="1:8">
      <c r="A87" s="28">
        <v>0.85</v>
      </c>
      <c r="B87" s="26">
        <v>86.4142423186974</v>
      </c>
      <c r="C87" s="26">
        <v>72.6958333333333</v>
      </c>
      <c r="D87" s="26">
        <v>79.9845354367702</v>
      </c>
      <c r="E87" s="26">
        <v>74.8670358182643</v>
      </c>
      <c r="F87" s="26">
        <v>76.6032711908788</v>
      </c>
      <c r="G87" s="26">
        <v>76.83376103935289</v>
      </c>
      <c r="H87" s="26">
        <v>78.55398637946909</v>
      </c>
    </row>
    <row r="88" spans="1:8">
      <c r="A88" s="28">
        <v>0.86</v>
      </c>
      <c r="B88" s="26">
        <v>87.2431401443494</v>
      </c>
      <c r="C88" s="26">
        <v>72.6958333333333</v>
      </c>
      <c r="D88" s="26">
        <v>80.0376296331422</v>
      </c>
      <c r="E88" s="26">
        <v>74.9201300146363</v>
      </c>
      <c r="F88" s="26">
        <v>76.9651788864808</v>
      </c>
      <c r="G88" s="26">
        <v>76.8683619746932</v>
      </c>
      <c r="H88" s="26">
        <v>78.90866061665351</v>
      </c>
    </row>
    <row r="89" spans="1:8">
      <c r="A89" s="28">
        <v>0.87</v>
      </c>
      <c r="B89" s="26">
        <v>87.9387420282755</v>
      </c>
      <c r="C89" s="26">
        <v>72.6958333333333</v>
      </c>
      <c r="D89" s="26">
        <v>80.084096706035</v>
      </c>
      <c r="E89" s="26">
        <v>74.966597087529</v>
      </c>
      <c r="F89" s="26">
        <v>77.3876581703455</v>
      </c>
      <c r="G89" s="26">
        <v>76.9048293805363</v>
      </c>
      <c r="H89" s="26">
        <v>79.3509192293608</v>
      </c>
    </row>
    <row r="90" spans="1:8">
      <c r="A90" s="28">
        <v>0.88</v>
      </c>
      <c r="B90" s="26">
        <v>88.8239390616022</v>
      </c>
      <c r="C90" s="26">
        <v>72.6958333333333</v>
      </c>
      <c r="D90" s="26">
        <v>80.117499618506</v>
      </c>
      <c r="E90" s="26">
        <v>75</v>
      </c>
      <c r="F90" s="26">
        <v>77.9066529169409</v>
      </c>
      <c r="G90" s="26">
        <v>76.9408851119142</v>
      </c>
      <c r="H90" s="26">
        <v>79.839917701565</v>
      </c>
    </row>
    <row r="91" spans="1:8">
      <c r="A91" s="28">
        <v>0.89</v>
      </c>
      <c r="B91" s="26">
        <v>89.7082726362967</v>
      </c>
      <c r="C91" s="26">
        <v>72.6958333333333</v>
      </c>
      <c r="D91" s="26">
        <v>80.117499618506</v>
      </c>
      <c r="E91" s="26">
        <v>75</v>
      </c>
      <c r="F91" s="26">
        <v>78.4905877662347</v>
      </c>
      <c r="G91" s="26">
        <v>76.97531777431909</v>
      </c>
      <c r="H91" s="26">
        <v>80.3679974999545</v>
      </c>
    </row>
    <row r="92" spans="1:8">
      <c r="A92" s="28">
        <v>0.9</v>
      </c>
      <c r="B92" s="26">
        <v>90.6864339030425</v>
      </c>
      <c r="C92" s="26">
        <v>72.6958333333333</v>
      </c>
      <c r="D92" s="26">
        <v>80.117499618506</v>
      </c>
      <c r="E92" s="26">
        <v>75</v>
      </c>
      <c r="F92" s="26">
        <v>79.1180027279942</v>
      </c>
      <c r="G92" s="26">
        <v>77.005643700115</v>
      </c>
      <c r="H92" s="26">
        <v>80.918582417727</v>
      </c>
    </row>
    <row r="93" spans="1:8">
      <c r="A93" s="28">
        <v>0.91</v>
      </c>
      <c r="B93" s="26">
        <v>91.6888578181821</v>
      </c>
      <c r="C93" s="26">
        <v>72.6958333333333</v>
      </c>
      <c r="D93" s="26">
        <v>80.117499618506</v>
      </c>
      <c r="E93" s="26">
        <v>75</v>
      </c>
      <c r="F93" s="26">
        <v>79.77014867542989</v>
      </c>
      <c r="G93" s="26">
        <v>77.02930000000001</v>
      </c>
      <c r="H93" s="26">
        <v>81.4225893714096</v>
      </c>
    </row>
    <row r="94" spans="1:8">
      <c r="A94" s="28">
        <v>0.92</v>
      </c>
      <c r="B94" s="26">
        <v>92.86686013621249</v>
      </c>
      <c r="C94" s="26">
        <v>72.6958333333333</v>
      </c>
      <c r="D94" s="26">
        <v>80.117499618506</v>
      </c>
      <c r="E94" s="26">
        <v>75</v>
      </c>
      <c r="F94" s="26">
        <v>80.6946685012082</v>
      </c>
      <c r="G94" s="26">
        <v>77.02930000000001</v>
      </c>
      <c r="H94" s="26">
        <v>82.0316030630584</v>
      </c>
    </row>
    <row r="95" spans="1:8">
      <c r="A95" s="28">
        <v>0.93</v>
      </c>
      <c r="B95" s="26">
        <v>94.2295638586772</v>
      </c>
      <c r="C95" s="26">
        <v>72.6958333333334</v>
      </c>
      <c r="D95" s="26">
        <v>80.117499618506</v>
      </c>
      <c r="E95" s="26">
        <v>75</v>
      </c>
      <c r="F95" s="26">
        <v>81.70699008627101</v>
      </c>
      <c r="G95" s="26">
        <v>77.02930000000001</v>
      </c>
      <c r="H95" s="26">
        <v>82.7785160255301</v>
      </c>
    </row>
    <row r="96" spans="1:8">
      <c r="A96" s="28">
        <v>0.9399999999999999</v>
      </c>
      <c r="B96" s="26">
        <v>95.5910509750136</v>
      </c>
      <c r="C96" s="26">
        <v>72.6958333333334</v>
      </c>
      <c r="D96" s="26">
        <v>80.117499618506</v>
      </c>
      <c r="E96" s="26">
        <v>75</v>
      </c>
      <c r="F96" s="26">
        <v>82.8548244820243</v>
      </c>
      <c r="G96" s="26">
        <v>77.02930000000001</v>
      </c>
      <c r="H96" s="26">
        <v>83.5135990824991</v>
      </c>
    </row>
    <row r="97" spans="1:8">
      <c r="A97" s="28">
        <v>0.95</v>
      </c>
      <c r="B97" s="26">
        <v>97.2758028141206</v>
      </c>
      <c r="C97" s="26">
        <v>72.6958333333334</v>
      </c>
      <c r="D97" s="26">
        <v>80.117499618506</v>
      </c>
      <c r="E97" s="26">
        <v>75</v>
      </c>
      <c r="F97" s="26">
        <v>84.1739382247555</v>
      </c>
      <c r="G97" s="26">
        <v>77.02930000000001</v>
      </c>
      <c r="H97" s="26">
        <v>84.3944099009321</v>
      </c>
    </row>
    <row r="98" spans="1:8">
      <c r="A98" s="28">
        <v>0.96</v>
      </c>
      <c r="B98" s="26">
        <v>99.24186822801509</v>
      </c>
      <c r="C98" s="26">
        <v>72.6958333333334</v>
      </c>
      <c r="D98" s="26">
        <v>80.117499618506</v>
      </c>
      <c r="E98" s="26">
        <v>75</v>
      </c>
      <c r="F98" s="26">
        <v>85.9923393870246</v>
      </c>
      <c r="G98" s="26">
        <v>77.02930000000001</v>
      </c>
      <c r="H98" s="26">
        <v>85.2610312527991</v>
      </c>
    </row>
    <row r="99" spans="1:8">
      <c r="A99" s="28">
        <v>0.97</v>
      </c>
      <c r="B99" s="26">
        <v>102.03525909241</v>
      </c>
      <c r="C99" s="26">
        <v>72.6958333333334</v>
      </c>
      <c r="D99" s="26">
        <v>80.117499618506</v>
      </c>
      <c r="E99" s="26">
        <v>75</v>
      </c>
      <c r="F99" s="26">
        <v>88.5457592103141</v>
      </c>
      <c r="G99" s="26">
        <v>77.02930000000001</v>
      </c>
      <c r="H99" s="26">
        <v>86.4691106620608</v>
      </c>
    </row>
    <row r="100" spans="1:8">
      <c r="A100" s="28">
        <v>0.98</v>
      </c>
      <c r="B100" s="26">
        <v>106.018896780738</v>
      </c>
      <c r="C100" s="26">
        <v>72.6958333333334</v>
      </c>
      <c r="D100" s="26">
        <v>80.117499618506</v>
      </c>
      <c r="E100" s="26">
        <v>75</v>
      </c>
      <c r="F100" s="26">
        <v>92.0495764470555</v>
      </c>
      <c r="G100" s="26">
        <v>77.02930000000001</v>
      </c>
      <c r="H100" s="26">
        <v>88.1344270676895</v>
      </c>
    </row>
    <row r="101" spans="1:8">
      <c r="A101" s="28">
        <v>0.99</v>
      </c>
      <c r="B101" s="26">
        <v>111.46022431009</v>
      </c>
      <c r="C101" s="26">
        <v>72.6958333333334</v>
      </c>
      <c r="D101" s="26">
        <v>80.117499618506</v>
      </c>
      <c r="E101" s="26">
        <v>75</v>
      </c>
      <c r="F101" s="26">
        <v>97.58322078453971</v>
      </c>
      <c r="G101" s="26">
        <v>77.02930000000001</v>
      </c>
      <c r="H101" s="26">
        <v>90.38701571719059</v>
      </c>
    </row>
  </sheetData>
  <pageMargins left="0.4" right="0.4" top="0.5" bottom="0.5" header="0.3" footer="0.3"/>
  <pageSetup paperSize="9" fitToHeight="0" orientation="landscape"/>
  <drawing r:id="rId1"/>
</worksheet>
</file>

<file path=xl/worksheets/sheet6.xml><?xml version="1.0" encoding="utf-8"?>
<worksheet xmlns="http://schemas.openxmlformats.org/spreadsheetml/2006/main" xmlns:r="http://schemas.openxmlformats.org/officeDocument/2006/relationships">
  <sheetPr codeName="Sheet6">
    <pageSetUpPr fitToPage="1"/>
  </sheetPr>
  <dimension ref="A1:N26"/>
  <sheetViews>
    <sheetView showGridLines="0" workbookViewId="0"/>
  </sheetViews>
  <sheetFormatPr defaultRowHeight="15"/>
  <cols>
    <col min="1" max="1" width="9.7109375" customWidth="1"/>
    <col min="2" max="9" width="12.7109375" customWidth="1"/>
    <col min="10" max="10" width="3.7109375" customWidth="1"/>
    <col min="11" max="14" width="12.7109375" customWidth="1"/>
  </cols>
  <sheetData>
    <row r="1" spans="1:14">
      <c r="A1" s="21" t="s">
        <v>81</v>
      </c>
    </row>
    <row r="2" spans="1:14">
      <c r="A2" s="2" t="s">
        <v>82</v>
      </c>
    </row>
    <row r="4" spans="1:14">
      <c r="K4" s="4" t="s">
        <v>98</v>
      </c>
    </row>
    <row r="5" spans="1:14" ht="30" customHeight="1">
      <c r="A5" s="8" t="s">
        <v>83</v>
      </c>
      <c r="B5" s="8" t="s">
        <v>84</v>
      </c>
      <c r="C5" s="8" t="s">
        <v>85</v>
      </c>
      <c r="D5" s="8" t="s">
        <v>86</v>
      </c>
      <c r="E5" s="8" t="s">
        <v>87</v>
      </c>
      <c r="F5" s="8" t="s">
        <v>88</v>
      </c>
      <c r="G5" s="8" t="s">
        <v>89</v>
      </c>
      <c r="H5" s="8" t="s">
        <v>54</v>
      </c>
      <c r="I5" s="8" t="s">
        <v>56</v>
      </c>
      <c r="K5" s="8" t="s">
        <v>99</v>
      </c>
      <c r="L5" s="8" t="s">
        <v>90</v>
      </c>
      <c r="M5" s="8" t="s">
        <v>93</v>
      </c>
      <c r="N5" s="8" t="s">
        <v>95</v>
      </c>
    </row>
    <row r="6" spans="1:14">
      <c r="A6" s="5" t="s">
        <v>90</v>
      </c>
      <c r="B6" s="31">
        <v>0.08333333333333333</v>
      </c>
      <c r="C6" s="7">
        <v>0</v>
      </c>
      <c r="D6" s="7">
        <v>3.8</v>
      </c>
      <c r="E6" s="7">
        <v>34</v>
      </c>
      <c r="F6" s="7">
        <v>-1.5</v>
      </c>
      <c r="G6" s="7">
        <v>0.8</v>
      </c>
      <c r="H6" s="15">
        <f>IF(B6="","",CM_FUTURE(B6))</f>
        <v>75</v>
      </c>
      <c r="I6" s="32">
        <f>IF(B6="","",CM_DF(B6))</f>
        <v>0.996838341933971</v>
      </c>
      <c r="K6" s="28">
        <v>-0.3</v>
      </c>
      <c r="L6" s="26">
        <f>100*CM_VOL(CM_FUTURE(1/12)*(1+$K6),1/12)</f>
        <v>38.38912</v>
      </c>
      <c r="M6" s="26">
        <f>100*CM_VOL(CM_FUTURE(0.5)*(1+$K6),0.5)</f>
        <v>34.8986846802021</v>
      </c>
      <c r="N6" s="26">
        <f>100*CM_VOL(CM_FUTURE(1)*(1+$K6),1)</f>
        <v>32.5880886262592</v>
      </c>
    </row>
    <row r="7" spans="1:14">
      <c r="A7" s="5" t="s">
        <v>91</v>
      </c>
      <c r="B7" s="31">
        <v>0.1666666666666667</v>
      </c>
      <c r="C7" s="7">
        <v>-0.55</v>
      </c>
      <c r="D7" s="7">
        <v>3.78</v>
      </c>
      <c r="E7" s="7">
        <v>33</v>
      </c>
      <c r="F7" s="7">
        <v>-1.5</v>
      </c>
      <c r="G7" s="7">
        <v>0.8</v>
      </c>
      <c r="H7" s="15">
        <f>IF(B7="","",CM_FUTURE(B7))</f>
        <v>74.45</v>
      </c>
      <c r="I7" s="32">
        <f>IF(B7="","",CM_DF(B7))</f>
        <v>0.993719803391055</v>
      </c>
      <c r="K7" s="28">
        <v>-0.27</v>
      </c>
      <c r="L7" s="26">
        <f>100*CM_VOL(CM_FUTURE(1/12)*(1+$K7),1/12)</f>
        <v>38.38912</v>
      </c>
      <c r="M7" s="26">
        <f>100*CM_VOL(CM_FUTURE(0.5)*(1+$K7),0.5)</f>
        <v>34.5633673657917</v>
      </c>
      <c r="N7" s="26">
        <f>100*CM_VOL(CM_FUTURE(1)*(1+$K7),1)</f>
        <v>32.2095422207173</v>
      </c>
    </row>
    <row r="8" spans="1:14">
      <c r="A8" s="5" t="s">
        <v>92</v>
      </c>
      <c r="B8" s="31">
        <v>0.25</v>
      </c>
      <c r="C8" s="7">
        <v>-1.05</v>
      </c>
      <c r="D8" s="7">
        <v>3.75</v>
      </c>
      <c r="E8" s="7">
        <v>32</v>
      </c>
      <c r="F8" s="7">
        <v>-1.6</v>
      </c>
      <c r="G8" s="7">
        <v>0.8</v>
      </c>
      <c r="H8" s="15">
        <f>IF(B8="","",CM_FUTURE(B8))</f>
        <v>73.95</v>
      </c>
      <c r="I8" s="32">
        <f>IF(B8="","",CM_DF(B8))</f>
        <v>0.990668808304661</v>
      </c>
      <c r="K8" s="28">
        <v>-0.24</v>
      </c>
      <c r="L8" s="26">
        <f>100*CM_VOL(CM_FUTURE(1/12)*(1+$K8),1/12)</f>
        <v>38.38912</v>
      </c>
      <c r="M8" s="26">
        <f>100*CM_VOL(CM_FUTURE(0.5)*(1+$K8),0.5)</f>
        <v>34.1765815110418</v>
      </c>
      <c r="N8" s="26">
        <f>100*CM_VOL(CM_FUTURE(1)*(1+$K8),1)</f>
        <v>31.8080451187155</v>
      </c>
    </row>
    <row r="9" spans="1:14">
      <c r="A9" s="5" t="s">
        <v>93</v>
      </c>
      <c r="B9" s="31">
        <v>0.5</v>
      </c>
      <c r="C9" s="7">
        <v>-2.3</v>
      </c>
      <c r="D9" s="7">
        <v>3.65</v>
      </c>
      <c r="E9" s="7">
        <v>30.5</v>
      </c>
      <c r="F9" s="7">
        <v>-1.8</v>
      </c>
      <c r="G9" s="7">
        <v>0.9</v>
      </c>
      <c r="H9" s="15">
        <f>IF(B9="","",CM_FUTURE(B9))</f>
        <v>72.7</v>
      </c>
      <c r="I9" s="32">
        <f>IF(B9="","",CM_DF(B9))</f>
        <v>0.981915522790186</v>
      </c>
      <c r="K9" s="28">
        <v>-0.21</v>
      </c>
      <c r="L9" s="26">
        <f>100*CM_VOL(CM_FUTURE(1/12)*(1+$K9),1/12)</f>
        <v>38.38912</v>
      </c>
      <c r="M9" s="26">
        <f>100*CM_VOL(CM_FUTURE(0.5)*(1+$K9),0.5)</f>
        <v>33.7450679835024</v>
      </c>
      <c r="N9" s="26">
        <f>100*CM_VOL(CM_FUTURE(1)*(1+$K9),1)</f>
        <v>31.3904316885386</v>
      </c>
    </row>
    <row r="10" spans="1:14">
      <c r="A10" s="5" t="s">
        <v>94</v>
      </c>
      <c r="B10" s="31">
        <v>0.75</v>
      </c>
      <c r="C10" s="7">
        <v>-3.3</v>
      </c>
      <c r="D10" s="7">
        <v>3.55</v>
      </c>
      <c r="E10" s="7">
        <v>29.5</v>
      </c>
      <c r="F10" s="7">
        <v>-1.9</v>
      </c>
      <c r="G10" s="7">
        <v>0.9</v>
      </c>
      <c r="H10" s="15">
        <f>IF(B10="","",CM_FUTURE(B10))</f>
        <v>71.7</v>
      </c>
      <c r="I10" s="32">
        <f>IF(B10="","",CM_DF(B10))</f>
        <v>0.973726320437926</v>
      </c>
      <c r="K10" s="28">
        <v>-0.18</v>
      </c>
      <c r="L10" s="26">
        <f>100*CM_VOL(CM_FUTURE(1/12)*(1+$K10),1/12)</f>
        <v>38.2097915664834</v>
      </c>
      <c r="M10" s="26">
        <f>100*CM_VOL(CM_FUTURE(0.5)*(1+$K10),0.5)</f>
        <v>33.2787751109046</v>
      </c>
      <c r="N10" s="26">
        <f>100*CM_VOL(CM_FUTURE(1)*(1+$K10),1)</f>
        <v>30.9646159360269</v>
      </c>
    </row>
    <row r="11" spans="1:14">
      <c r="A11" s="5" t="s">
        <v>95</v>
      </c>
      <c r="B11" s="31">
        <v>1</v>
      </c>
      <c r="C11" s="7">
        <v>-4.1</v>
      </c>
      <c r="D11" s="7">
        <v>3.45</v>
      </c>
      <c r="E11" s="7">
        <v>28.5</v>
      </c>
      <c r="F11" s="7">
        <v>-2</v>
      </c>
      <c r="G11" s="7">
        <v>1</v>
      </c>
      <c r="H11" s="15">
        <f>IF(B11="","",CM_FUTURE(B11))</f>
        <v>70.9</v>
      </c>
      <c r="I11" s="32">
        <f>IF(B11="","",CM_DF(B11))</f>
        <v>0.966088339686492</v>
      </c>
      <c r="K11" s="28">
        <v>-0.15</v>
      </c>
      <c r="L11" s="26">
        <f>100*CM_VOL(CM_FUTURE(1/12)*(1+$K11),1/12)</f>
        <v>37.7807789368954</v>
      </c>
      <c r="M11" s="26">
        <f>100*CM_VOL(CM_FUTURE(0.5)*(1+$K11),0.5)</f>
        <v>32.7909340411858</v>
      </c>
      <c r="N11" s="26">
        <f>100*CM_VOL(CM_FUTURE(1)*(1+$K11),1)</f>
        <v>30.5395653526347</v>
      </c>
    </row>
    <row r="12" spans="1:14">
      <c r="A12" s="5" t="s">
        <v>96</v>
      </c>
      <c r="B12" s="31">
        <v>1.5</v>
      </c>
      <c r="C12" s="7">
        <v>-5.3</v>
      </c>
      <c r="D12" s="7">
        <v>3.35</v>
      </c>
      <c r="E12" s="7">
        <v>27.5</v>
      </c>
      <c r="F12" s="7">
        <v>-2</v>
      </c>
      <c r="G12" s="7">
        <v>1</v>
      </c>
      <c r="H12" s="15">
        <f>IF(B12="","",CM_FUTURE(B12))</f>
        <v>69.7</v>
      </c>
      <c r="I12" s="32">
        <f>IF(B12="","",CM_DF(B12))</f>
        <v>0.950991646868031</v>
      </c>
      <c r="K12" s="28">
        <v>-0.12</v>
      </c>
      <c r="L12" s="26">
        <f>100*CM_VOL(CM_FUTURE(1/12)*(1+$K12),1/12)</f>
        <v>37.1622123755777</v>
      </c>
      <c r="M12" s="26">
        <f>100*CM_VOL(CM_FUTURE(0.5)*(1+$K12),0.5)</f>
        <v>32.298066134915</v>
      </c>
      <c r="N12" s="26">
        <f>100*CM_VOL(CM_FUTURE(1)*(1+$K12),1)</f>
        <v>30.1251799542154</v>
      </c>
    </row>
    <row r="13" spans="1:14">
      <c r="A13" s="5" t="s">
        <v>97</v>
      </c>
      <c r="B13" s="31">
        <v>2</v>
      </c>
      <c r="C13" s="7">
        <v>-6.1</v>
      </c>
      <c r="D13" s="7">
        <v>3.3</v>
      </c>
      <c r="E13" s="7">
        <v>26.5</v>
      </c>
      <c r="F13" s="7">
        <v>-2</v>
      </c>
      <c r="G13" s="7">
        <v>1</v>
      </c>
      <c r="H13" s="15">
        <f>IF(B13="","",CM_FUTURE(B13))</f>
        <v>68.9</v>
      </c>
      <c r="I13" s="32">
        <f>IF(B13="","",CM_DF(B13))</f>
        <v>0.936130864291619</v>
      </c>
      <c r="K13" s="28">
        <v>-0.09</v>
      </c>
      <c r="L13" s="26">
        <f>100*CM_VOL(CM_FUTURE(1/12)*(1+$K13),1/12)</f>
        <v>36.3738152673973</v>
      </c>
      <c r="M13" s="26">
        <f>100*CM_VOL(CM_FUTURE(0.5)*(1+$K13),0.5)</f>
        <v>31.819671134193</v>
      </c>
      <c r="N13" s="26">
        <f>100*CM_VOL(CM_FUTURE(1)*(1+$K13),1)</f>
        <v>29.7319954206137</v>
      </c>
    </row>
    <row r="14" spans="1:14">
      <c r="A14" s="5"/>
      <c r="B14" s="5"/>
      <c r="C14" s="5"/>
      <c r="D14" s="5"/>
      <c r="E14" s="5"/>
      <c r="F14" s="5"/>
      <c r="G14" s="5"/>
      <c r="K14" s="28">
        <v>-0.06</v>
      </c>
      <c r="L14" s="26">
        <f>100*CM_VOL(CM_FUTURE(1/12)*(1+$K14),1/12)</f>
        <v>35.4923202336846</v>
      </c>
      <c r="M14" s="26">
        <f>100*CM_VOL(CM_FUTURE(0.5)*(1+$K14),0.5)</f>
        <v>31.3772163808443</v>
      </c>
      <c r="N14" s="26">
        <f>100*CM_VOL(CM_FUTURE(1)*(1+$K14),1)</f>
        <v>29.370636285796</v>
      </c>
    </row>
    <row r="15" spans="1:14">
      <c r="A15" s="5"/>
      <c r="B15" s="5"/>
      <c r="C15" s="5"/>
      <c r="D15" s="5"/>
      <c r="E15" s="5"/>
      <c r="F15" s="5"/>
      <c r="G15" s="5"/>
      <c r="K15" s="28">
        <v>-0.02999999999999997</v>
      </c>
      <c r="L15" s="26">
        <f>100*CM_VOL(CM_FUTURE(1/12)*(1+$K15),1/12)</f>
        <v>34.6610155470985</v>
      </c>
      <c r="M15" s="26">
        <f>100*CM_VOL(CM_FUTURE(0.5)*(1+$K15),0.5)</f>
        <v>30.9920658939435</v>
      </c>
      <c r="N15" s="26">
        <f>100*CM_VOL(CM_FUTURE(1)*(1+$K15),1)</f>
        <v>29.0509956688269</v>
      </c>
    </row>
    <row r="16" spans="1:14">
      <c r="A16" s="5"/>
      <c r="B16" s="5"/>
      <c r="C16" s="5"/>
      <c r="D16" s="5"/>
      <c r="E16" s="5"/>
      <c r="F16" s="5"/>
      <c r="G16" s="5"/>
      <c r="K16" s="28">
        <v>0</v>
      </c>
      <c r="L16" s="26">
        <f>100*CM_VOL(CM_FUTURE(1/12)*(1+$K16),1/12)</f>
        <v>34.0637410801991</v>
      </c>
      <c r="M16" s="26">
        <f>100*CM_VOL(CM_FUTURE(0.5)*(1+$K16),0.5)</f>
        <v>30.6823547890372</v>
      </c>
      <c r="N16" s="26">
        <f>100*CM_VOL(CM_FUTURE(1)*(1+$K16),1)</f>
        <v>28.7812234739909</v>
      </c>
    </row>
    <row r="17" spans="1:14">
      <c r="A17" s="5"/>
      <c r="B17" s="5"/>
      <c r="C17" s="5"/>
      <c r="D17" s="5"/>
      <c r="E17" s="5"/>
      <c r="F17" s="5"/>
      <c r="G17" s="5"/>
      <c r="K17" s="28">
        <v>0.02999999999999997</v>
      </c>
      <c r="L17" s="26">
        <f>100*CM_VOL(CM_FUTURE(1/12)*(1+$K17),1/12)</f>
        <v>33.8279122230834</v>
      </c>
      <c r="M17" s="26">
        <f>100*CM_VOL(CM_FUTURE(0.5)*(1+$K17),0.5)</f>
        <v>30.4595695244823</v>
      </c>
      <c r="N17" s="26">
        <f>100*CM_VOL(CM_FUTURE(1)*(1+$K17),1)</f>
        <v>28.5667378563201</v>
      </c>
    </row>
    <row r="18" spans="1:14">
      <c r="A18" s="5"/>
      <c r="B18" s="5"/>
      <c r="C18" s="5"/>
      <c r="D18" s="5"/>
      <c r="E18" s="5"/>
      <c r="F18" s="5"/>
      <c r="G18" s="5"/>
      <c r="K18" s="28">
        <v>0.06</v>
      </c>
      <c r="L18" s="26">
        <f>100*CM_VOL(CM_FUTURE(1/12)*(1+$K18),1/12)</f>
        <v>33.9285073678538</v>
      </c>
      <c r="M18" s="26">
        <f>100*CM_VOL(CM_FUTURE(0.5)*(1+$K18),0.5)</f>
        <v>30.3262640989604</v>
      </c>
      <c r="N18" s="26">
        <f>100*CM_VOL(CM_FUTURE(1)*(1+$K18),1)</f>
        <v>28.409556108916</v>
      </c>
    </row>
    <row r="19" spans="1:14">
      <c r="A19" s="5"/>
      <c r="B19" s="5"/>
      <c r="C19" s="5"/>
      <c r="D19" s="5"/>
      <c r="E19" s="5"/>
      <c r="F19" s="5"/>
      <c r="G19" s="5"/>
      <c r="K19" s="28">
        <v>0.09000000000000002</v>
      </c>
      <c r="L19" s="26">
        <f>100*CM_VOL(CM_FUTURE(1/12)*(1+$K19),1/12)</f>
        <v>34.2274875933266</v>
      </c>
      <c r="M19" s="26">
        <f>100*CM_VOL(CM_FUTURE(0.5)*(1+$K19),0.5)</f>
        <v>30.2761168082791</v>
      </c>
      <c r="N19" s="26">
        <f>100*CM_VOL(CM_FUTURE(1)*(1+$K19),1)</f>
        <v>28.3081854611465</v>
      </c>
    </row>
    <row r="20" spans="1:14">
      <c r="A20" s="5"/>
      <c r="B20" s="5"/>
      <c r="C20" s="5"/>
      <c r="D20" s="5"/>
      <c r="E20" s="5"/>
      <c r="F20" s="5"/>
      <c r="G20" s="5"/>
      <c r="K20" s="28">
        <v>0.12</v>
      </c>
      <c r="L20" s="26">
        <f>100*CM_VOL(CM_FUTURE(1/12)*(1+$K20),1/12)</f>
        <v>34.5856056098477</v>
      </c>
      <c r="M20" s="26">
        <f>100*CM_VOL(CM_FUTURE(0.5)*(1+$K20),0.5)</f>
        <v>30.2962894108141</v>
      </c>
      <c r="N20" s="26">
        <f>100*CM_VOL(CM_FUTURE(1)*(1+$K20),1)</f>
        <v>28.2581182706506</v>
      </c>
    </row>
    <row r="21" spans="1:14">
      <c r="K21" s="28">
        <v>0.15</v>
      </c>
      <c r="L21" s="26">
        <f>100*CM_VOL(CM_FUTURE(1/12)*(1+$K21),1/12)</f>
        <v>34.916137319559</v>
      </c>
      <c r="M21" s="26">
        <f>100*CM_VOL(CM_FUTURE(0.5)*(1+$K21),0.5)</f>
        <v>30.3708373529842</v>
      </c>
      <c r="N21" s="26">
        <f>100*CM_VOL(CM_FUTURE(1)*(1+$K21),1)</f>
        <v>28.252751392244</v>
      </c>
    </row>
    <row r="22" spans="1:14">
      <c r="K22" s="28">
        <v>0.18</v>
      </c>
      <c r="L22" s="26">
        <f>100*CM_VOL(CM_FUTURE(1/12)*(1+$K22),1/12)</f>
        <v>35.181524457891</v>
      </c>
      <c r="M22" s="26">
        <f>100*CM_VOL(CM_FUTURE(0.5)*(1+$K22),0.5)</f>
        <v>30.4837454869532</v>
      </c>
      <c r="N22" s="26">
        <f>100*CM_VOL(CM_FUTURE(1)*(1+$K22),1)</f>
        <v>28.2844334604576</v>
      </c>
    </row>
    <row r="23" spans="1:14">
      <c r="K23" s="28">
        <v>0.21</v>
      </c>
      <c r="L23" s="26">
        <f>100*CM_VOL(CM_FUTURE(1/12)*(1+$K23),1/12)</f>
        <v>35.3751987178396</v>
      </c>
      <c r="M23" s="26">
        <f>100*CM_VOL(CM_FUTURE(0.5)*(1+$K23),0.5)</f>
        <v>30.6208533192594</v>
      </c>
      <c r="N23" s="26">
        <f>100*CM_VOL(CM_FUTURE(1)*(1+$K23),1)</f>
        <v>28.3453800471059</v>
      </c>
    </row>
    <row r="24" spans="1:14">
      <c r="K24" s="28">
        <v>0.24</v>
      </c>
      <c r="L24" s="26">
        <f>100*CM_VOL(CM_FUTURE(1/12)*(1+$K24),1/12)</f>
        <v>35.5062676367392</v>
      </c>
      <c r="M24" s="26">
        <f>100*CM_VOL(CM_FUTURE(0.5)*(1+$K24),0.5)</f>
        <v>30.7706756947482</v>
      </c>
      <c r="N24" s="26">
        <f>100*CM_VOL(CM_FUTURE(1)*(1+$K24),1)</f>
        <v>28.428320905346</v>
      </c>
    </row>
    <row r="25" spans="1:14">
      <c r="K25" s="28">
        <v>0.27</v>
      </c>
      <c r="L25" s="26">
        <f>100*CM_VOL(CM_FUTURE(1/12)*(1+$K25),1/12)</f>
        <v>35.50912</v>
      </c>
      <c r="M25" s="26">
        <f>100*CM_VOL(CM_FUTURE(0.5)*(1+$K25),0.5)</f>
        <v>30.9244734176858</v>
      </c>
      <c r="N25" s="26">
        <f>100*CM_VOL(CM_FUTURE(1)*(1+$K25),1)</f>
        <v>28.5268651142057</v>
      </c>
    </row>
    <row r="26" spans="1:14">
      <c r="K26" s="28">
        <v>0.3</v>
      </c>
      <c r="L26" s="26">
        <f>100*CM_VOL(CM_FUTURE(1/12)*(1+$K26),1/12)</f>
        <v>35.50912</v>
      </c>
      <c r="M26" s="26">
        <f>100*CM_VOL(CM_FUTURE(0.5)*(1+$K26),0.5)</f>
        <v>31.0759417752742</v>
      </c>
      <c r="N26" s="26">
        <f>100*CM_VOL(CM_FUTURE(1)*(1+$K26),1)</f>
        <v>28.6356406769149</v>
      </c>
    </row>
  </sheetData>
  <pageMargins left="0.4" right="0.4" top="0.5" bottom="0.5" header="0.3" footer="0.3"/>
  <pageSetup paperSize="9" orientation="landscape"/>
  <drawing r:id="rId1"/>
</worksheet>
</file>

<file path=xl/worksheets/sheet7.xml><?xml version="1.0" encoding="utf-8"?>
<worksheet xmlns="http://schemas.openxmlformats.org/spreadsheetml/2006/main" xmlns:r="http://schemas.openxmlformats.org/officeDocument/2006/relationships">
  <sheetPr codeName="Sheet7">
    <pageSetUpPr fitToPage="1"/>
  </sheetPr>
  <dimension ref="B3:B20"/>
  <sheetViews>
    <sheetView showGridLines="0" workbookViewId="0"/>
  </sheetViews>
  <sheetFormatPr defaultRowHeight="15"/>
  <cols>
    <col min="1" max="1" width="2.7109375" customWidth="1"/>
    <col min="2" max="2" width="120.7109375" customWidth="1"/>
  </cols>
  <sheetData>
    <row r="3" spans="2:2">
      <c r="B3" s="21" t="s">
        <v>109</v>
      </c>
    </row>
    <row r="4" spans="2:2" ht="62" customHeight="1">
      <c r="B4" s="23" t="s">
        <v>110</v>
      </c>
    </row>
    <row r="6" spans="2:2">
      <c r="B6" s="21" t="s">
        <v>111</v>
      </c>
    </row>
    <row r="7" spans="2:2" ht="62" customHeight="1">
      <c r="B7" s="23" t="s">
        <v>112</v>
      </c>
    </row>
    <row r="9" spans="2:2">
      <c r="B9" s="21" t="s">
        <v>113</v>
      </c>
    </row>
    <row r="10" spans="2:2" ht="62" customHeight="1">
      <c r="B10" s="23" t="s">
        <v>114</v>
      </c>
    </row>
    <row r="12" spans="2:2">
      <c r="B12" s="21" t="s">
        <v>115</v>
      </c>
    </row>
    <row r="13" spans="2:2" ht="62" customHeight="1">
      <c r="B13" s="23" t="s">
        <v>116</v>
      </c>
    </row>
    <row r="15" spans="2:2">
      <c r="B15" s="21" t="s">
        <v>117</v>
      </c>
    </row>
    <row r="16" spans="2:2" ht="62" customHeight="1">
      <c r="B16" s="23" t="s">
        <v>118</v>
      </c>
    </row>
    <row r="17" spans="2:2" ht="62" customHeight="1">
      <c r="B17" s="23" t="s">
        <v>119</v>
      </c>
    </row>
    <row r="19" spans="2:2">
      <c r="B19" s="21" t="s">
        <v>120</v>
      </c>
    </row>
    <row r="20" spans="2:2" ht="62" customHeight="1">
      <c r="B20" s="23" t="s">
        <v>121</v>
      </c>
    </row>
  </sheetData>
  <pageMargins left="0.4" right="0.4" top="0.5" bottom="0.5" header="0.3" footer="0.3"/>
  <pageSetup paperSize="9"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30</vt:i4>
      </vt:variant>
    </vt:vector>
  </HeadingPairs>
  <TitlesOfParts>
    <vt:vector size="37" baseType="lpstr">
      <vt:lpstr>Pricer</vt:lpstr>
      <vt:lpstr>Pitch</vt:lpstr>
      <vt:lpstr>Schedule</vt:lpstr>
      <vt:lpstr>Scenarios</vt:lpstr>
      <vt:lpstr>Distribution</vt:lpstr>
      <vt:lpstr>Market</vt:lpstr>
      <vt:lpstr>Notes</vt:lpstr>
      <vt:lpstr>AvgFut</vt:lpstr>
      <vt:lpstr>Budget</vt:lpstr>
      <vt:lpstr>Cap3</vt:lpstr>
      <vt:lpstr>DistTop</vt:lpstr>
      <vt:lpstr>DriftView</vt:lpstr>
      <vt:lpstr>DUStrike</vt:lpstr>
      <vt:lpstr>DUTop</vt:lpstr>
      <vt:lpstr>Front</vt:lpstr>
      <vt:lpstr>Giveup3</vt:lpstr>
      <vt:lpstr>Giveup</vt:lpstr>
      <vt:lpstr>Leverage</vt:lpstr>
      <vt:lpstr>MarginUSD</vt:lpstr>
      <vt:lpstr>McTop</vt:lpstr>
      <vt:lpstr>MktTable</vt:lpstr>
      <vt:lpstr>NMonths</vt:lpstr>
      <vt:lpstr>NPaths</vt:lpstr>
      <vt:lpstr>Participation</vt:lpstr>
      <vt:lpstr>Phi</vt:lpstr>
      <vt:lpstr>PremBbl</vt:lpstr>
      <vt:lpstr>Pitch!Print_Area</vt:lpstr>
      <vt:lpstr>Pricer!Print_Area</vt:lpstr>
      <vt:lpstr>Protect</vt:lpstr>
      <vt:lpstr>PSStrike</vt:lpstr>
      <vt:lpstr>ScenTop</vt:lpstr>
      <vt:lpstr>Seed</vt:lpstr>
      <vt:lpstr>Side</vt:lpstr>
      <vt:lpstr>Status</vt:lpstr>
      <vt:lpstr>TotalQ</vt:lpstr>
      <vt:lpstr>VolShift</vt:lpstr>
      <vt:lpstr>Volume</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Commo Hedging Tool</dc:title>
  <dc:subject>Jet fuel hedging proposals for an airline</dc:subject>
  <dc:creator>Leo Yakass</dc:creator>
  <dc:description>Illustrative market data</dc:description>
  <cp:lastModifiedBy>Leo Yakass</cp:lastModifiedBy>
  <dcterms:created xsi:type="dcterms:W3CDTF">2026-10-28T19:06:12Z</dcterms:created>
  <dcterms:modified xsi:type="dcterms:W3CDTF">2026-10-28T19:06:12Z</dcterms:modified>
</cp:coreProperties>
</file>